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AEB4F63-F33D-04DF-ECAF-5796C6CBFC7C}"/>
  <workbookPr codeName="ThisWorkbook" defaultThemeVersion="124226"/>
  <mc:AlternateContent xmlns:mc="http://schemas.openxmlformats.org/markup-compatibility/2006">
    <mc:Choice Requires="x15">
      <x15ac:absPath xmlns:x15ac="http://schemas.microsoft.com/office/spreadsheetml/2010/11/ac" url="C:\Users\ccreekmore\OneDrive - Department for Education\CCREEKMORE\HANDOVER FOLDER - payslips etc\ORLDTFG\"/>
    </mc:Choice>
  </mc:AlternateContent>
  <xr:revisionPtr revIDLastSave="0" documentId="8_{154EF772-D8C6-4809-9C14-50C5B543156A}" xr6:coauthVersionLast="45" xr6:coauthVersionMax="45" xr10:uidLastSave="{00000000-0000-0000-0000-000000000000}"/>
  <bookViews>
    <workbookView xWindow="-98" yWindow="-98" windowWidth="22695" windowHeight="14595" activeTab="3" xr2:uid="{00000000-000D-0000-FFFF-FFFF00000000}"/>
  </bookViews>
  <sheets>
    <sheet name="How to use this log book" sheetId="13" r:id="rId1"/>
    <sheet name="Background to CPD in GORS" sheetId="10" r:id="rId2"/>
    <sheet name="Front page" sheetId="11" r:id="rId3"/>
    <sheet name="2019-2020" sheetId="1" r:id="rId4"/>
    <sheet name="Running Tally of CPD" sheetId="9" r:id="rId5"/>
    <sheet name="Drop down list" sheetId="6" state="hidden" r:id="rId6"/>
    <sheet name="Template" sheetId="16" state="hidden" r:id="rId7"/>
  </sheets>
  <definedNames>
    <definedName name="_xlnm._FilterDatabase" localSheetId="5" hidden="1">'Drop down list'!$C$1:$C$11</definedName>
    <definedName name="_PSG2">'Drop down list'!$C$14:$C$23</definedName>
    <definedName name="ActivityType">'Drop down list'!$E$2:$E$17</definedName>
    <definedName name="Competency_Level">'Drop down list'!XFB10:XFB15</definedName>
    <definedName name="Levels">'Drop down list'!$A$10:$A$13</definedName>
    <definedName name="Outcome">'Front page'!$B$16</definedName>
    <definedName name="PlanLearn">'Front page'!#REF!</definedName>
    <definedName name="_xlnm.Print_Area" localSheetId="1">'Background to CPD in GORS'!$B$1:$Q$45</definedName>
    <definedName name="_xlnm.Print_Titles" localSheetId="3">'2019-2020'!$1:$8</definedName>
    <definedName name="PSG">'Drop down list'!$C$2:$C$11</definedName>
    <definedName name="PSG2levels">'Drop down list'!$A$16:$A$21</definedName>
    <definedName name="PSGLevels">'Drop down list'!$A$16:$A$21</definedName>
    <definedName name="SkillType">'Drop down list'!$C$2:$C$3</definedName>
    <definedName name="StatsComp">'Drop down list'!$A$2:$A$4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 i="16" l="1"/>
  <c r="C5" i="16"/>
  <c r="D5" i="1"/>
  <c r="C5" i="1"/>
  <c r="C11" i="9"/>
  <c r="D19" i="9"/>
  <c r="C18" i="9"/>
  <c r="C17" i="9"/>
  <c r="C20" i="9"/>
  <c r="C19" i="9"/>
  <c r="D17" i="9"/>
  <c r="D21" i="9"/>
  <c r="C21" i="9"/>
  <c r="D18" i="9"/>
  <c r="D20" i="9"/>
  <c r="E5" i="16" l="1"/>
  <c r="E20" i="9"/>
  <c r="E18" i="9"/>
  <c r="E21" i="9"/>
  <c r="E19" i="9"/>
  <c r="E17" i="9"/>
  <c r="F21" i="9"/>
  <c r="A33" i="6" l="1"/>
  <c r="A32" i="6"/>
  <c r="A31" i="6"/>
  <c r="A30" i="6"/>
  <c r="A29" i="6"/>
  <c r="A28" i="6"/>
  <c r="A27" i="6"/>
  <c r="D12" i="9"/>
  <c r="C12" i="9"/>
  <c r="D16" i="9"/>
  <c r="C15" i="9"/>
  <c r="C14" i="9"/>
  <c r="C9" i="9"/>
  <c r="C16" i="9"/>
  <c r="D15" i="9"/>
  <c r="C10" i="9"/>
  <c r="C13" i="9"/>
  <c r="D10" i="9"/>
  <c r="D9" i="9"/>
  <c r="D14" i="9"/>
  <c r="D13" i="9"/>
  <c r="F19" i="9" l="1"/>
  <c r="F17" i="9"/>
  <c r="F18" i="9"/>
  <c r="F20" i="9"/>
  <c r="A26" i="6"/>
  <c r="D11" i="9"/>
  <c r="D8" i="9"/>
  <c r="C8" i="9"/>
  <c r="B27" i="6" l="1"/>
  <c r="E2" i="16" s="1"/>
  <c r="E5" i="1"/>
  <c r="E7" i="9"/>
  <c r="F16" i="9" l="1"/>
  <c r="F15" i="9"/>
  <c r="F14" i="9"/>
  <c r="F13" i="9"/>
  <c r="F12" i="9"/>
  <c r="E8" i="9"/>
  <c r="E9" i="9"/>
  <c r="E10" i="9"/>
  <c r="E11" i="9"/>
  <c r="E12" i="9"/>
  <c r="E13" i="9"/>
  <c r="E14" i="9"/>
  <c r="E15" i="9"/>
  <c r="E16" i="9"/>
  <c r="F11" i="9" l="1"/>
</calcChain>
</file>

<file path=xl/sharedStrings.xml><?xml version="1.0" encoding="utf-8"?>
<sst xmlns="http://schemas.openxmlformats.org/spreadsheetml/2006/main" count="177" uniqueCount="151">
  <si>
    <t>Appraisal year:</t>
  </si>
  <si>
    <t>Date</t>
  </si>
  <si>
    <t xml:space="preserve">Hours Completed            </t>
  </si>
  <si>
    <t>Date:</t>
  </si>
  <si>
    <t>Type of activity</t>
  </si>
  <si>
    <t>Giving a presentation</t>
  </si>
  <si>
    <t>Qualification</t>
  </si>
  <si>
    <t>Other</t>
  </si>
  <si>
    <t>Work shadowing</t>
  </si>
  <si>
    <t>Other training course</t>
  </si>
  <si>
    <t>Attending a presentation, conference etc.</t>
  </si>
  <si>
    <t>Mentoring / teaching / coaching (mentor or mentee)</t>
  </si>
  <si>
    <t>At a glance running tally of CPD</t>
  </si>
  <si>
    <t>Year</t>
  </si>
  <si>
    <t>Broader</t>
  </si>
  <si>
    <t>Total</t>
  </si>
  <si>
    <t>Reading/ self-teaching</t>
  </si>
  <si>
    <t>Purposeful networking</t>
  </si>
  <si>
    <t>Levels</t>
  </si>
  <si>
    <t>Level 1</t>
  </si>
  <si>
    <t>Level 2</t>
  </si>
  <si>
    <t>Level 3</t>
  </si>
  <si>
    <t>Level 4</t>
  </si>
  <si>
    <t>Delivering Results: Achieving Commercial Outcomes</t>
  </si>
  <si>
    <t>Level 5</t>
  </si>
  <si>
    <t>Level 6</t>
  </si>
  <si>
    <t>CSCF Levels</t>
  </si>
  <si>
    <t>Type of skill</t>
  </si>
  <si>
    <t>Manager's/Mentor's name:</t>
  </si>
  <si>
    <t>Name:</t>
  </si>
  <si>
    <t>Date from:</t>
  </si>
  <si>
    <t>New Branch/ Division or Department:</t>
  </si>
  <si>
    <t>New Grade:</t>
  </si>
  <si>
    <t>Career History (Record changes of role, or changes of grade)</t>
  </si>
  <si>
    <t>Broader CPD</t>
  </si>
  <si>
    <t>Next year:</t>
  </si>
  <si>
    <t>Running Total:</t>
  </si>
  <si>
    <t>2015-16</t>
  </si>
  <si>
    <t>2016-17</t>
  </si>
  <si>
    <t>2017-18</t>
  </si>
  <si>
    <t>2018-19</t>
  </si>
  <si>
    <t>2019-20</t>
  </si>
  <si>
    <t>2020-21</t>
  </si>
  <si>
    <t>2021-22</t>
  </si>
  <si>
    <t>2022-23</t>
  </si>
  <si>
    <t>2023-24</t>
  </si>
  <si>
    <t>2024-25</t>
  </si>
  <si>
    <t>This sheet updates automatically</t>
  </si>
  <si>
    <t>Sign off</t>
  </si>
  <si>
    <t>Teaching/coaching others</t>
  </si>
  <si>
    <t>On-the-job learning or development</t>
  </si>
  <si>
    <r>
      <t xml:space="preserve">Type of activity
</t>
    </r>
    <r>
      <rPr>
        <b/>
        <sz val="10"/>
        <color theme="4"/>
        <rFont val="Arial"/>
        <family val="2"/>
      </rPr>
      <t xml:space="preserve">select from drop down menu </t>
    </r>
  </si>
  <si>
    <r>
      <t xml:space="preserve">Type of skill
</t>
    </r>
    <r>
      <rPr>
        <b/>
        <sz val="10"/>
        <color theme="4"/>
        <rFont val="Arial"/>
        <family val="2"/>
      </rPr>
      <t xml:space="preserve">select from drop down menu </t>
    </r>
  </si>
  <si>
    <r>
      <t xml:space="preserve">Learning Activity
</t>
    </r>
    <r>
      <rPr>
        <b/>
        <sz val="10"/>
        <color theme="4" tint="-0.249977111117893"/>
        <rFont val="Arial"/>
        <family val="2"/>
      </rPr>
      <t>Free Text</t>
    </r>
  </si>
  <si>
    <t>Background</t>
  </si>
  <si>
    <t>How to use this CPD log book</t>
  </si>
  <si>
    <t>Getting started</t>
  </si>
  <si>
    <t>2. Click on the 'Front page' and type in your name in the box provided.</t>
  </si>
  <si>
    <t>Filling in the CPD page</t>
  </si>
  <si>
    <t>2. Describe the learning activity in column C (free text).</t>
  </si>
  <si>
    <t>Note that the running total of CPD on this page, and also on the 'running tally' page all update automatically.</t>
  </si>
  <si>
    <t>Year end and maintenance</t>
  </si>
  <si>
    <t>2. When your manager has confirmed sign off of your CPD for the current year, simply click on the radio button next to their name, and enter the date.</t>
  </si>
  <si>
    <t>4. If you move jobs, or change grade, during the year: Type in the new details in the table on the front page. If you run out of rows in this table, click on the button 'add row to career history table'.</t>
  </si>
  <si>
    <t>This template has some simple 'macro' tools to enable you to record future years' learning and to ensure you have an up to date record of sign-off processes from your line manager. These are accessed from the 'front page' tab.</t>
  </si>
  <si>
    <t>Assessment of Outcome</t>
  </si>
  <si>
    <t>Background to Continuing Professional Development (CPD)</t>
  </si>
  <si>
    <t>The purpose of a CPD log</t>
  </si>
  <si>
    <t>What counts as CPD</t>
  </si>
  <si>
    <t xml:space="preserve">Some examples of relevant CPD activity may include: </t>
  </si>
  <si>
    <t xml:space="preserve">- formal qualifications, </t>
  </si>
  <si>
    <t xml:space="preserve">- short training courses, </t>
  </si>
  <si>
    <t xml:space="preserve">- conferences or seminars, </t>
  </si>
  <si>
    <t xml:space="preserve">- reading, </t>
  </si>
  <si>
    <t xml:space="preserve">- secondments, </t>
  </si>
  <si>
    <t xml:space="preserve">- articles written to publications, or </t>
  </si>
  <si>
    <t>- specific work experience or project aimed at developing a new skill</t>
  </si>
  <si>
    <t xml:space="preserve">- teaching and coaching. </t>
  </si>
  <si>
    <t>How much CPD to do</t>
  </si>
  <si>
    <t>Key development needs should be identified at the start of the year but unplanned activity will also be a major feature of the CPD Log Book.</t>
  </si>
  <si>
    <t>The role of CPD in Recruitment, Promotion and Badging</t>
  </si>
  <si>
    <t>This template is designed to record your CPD (continuing professional development) for every year, starting from 2019-20. If you have been a member of GORS in previous years, you should already have a record of your CPD for those years. You are not expected to copy across old material, but you may wish to keep a record of your running totals for CPD:</t>
  </si>
  <si>
    <t>1. Click on the 'Running tally of CPD' page. For each year up to 2019-20, type in the number of hours of statistical and broader training you have completed. The totals and the running average are calculated automatically.</t>
  </si>
  <si>
    <t>To record your CPD, there is a separate page for each year. Click on the '2019-20' tab. The broad idea is to record one row of information for each training and development action you have taken. The template is designed to record all your CPD; not just statistical aspects, but broader development too.</t>
  </si>
  <si>
    <t>OR Competency</t>
  </si>
  <si>
    <t>Purposeful networking with other ORs and/or Data Scientists</t>
  </si>
  <si>
    <t>OR/Data Science training course</t>
  </si>
  <si>
    <t>Knowledge and application of OR skills and techniques</t>
  </si>
  <si>
    <t>Achieving impact with analysis</t>
  </si>
  <si>
    <t>Sustaining and developing OR professionals and professionalism</t>
  </si>
  <si>
    <t>OR</t>
  </si>
  <si>
    <t>Technical (OR/Data Science)</t>
  </si>
  <si>
    <t>Non-Technical (Wider CS Behaviours)</t>
  </si>
  <si>
    <t>- to help to set standards for managing and monitoring professional development across the GORS;</t>
  </si>
  <si>
    <t>- to set out expectations for the number of hours an OR or Data Scientist should devote to professional learning each year;</t>
  </si>
  <si>
    <t>- involvement in collaborative GORS initiatives,</t>
  </si>
  <si>
    <t xml:space="preserve">- the acquisition of new OR/data science skills, </t>
  </si>
  <si>
    <t xml:space="preserve">- on-the-job learning, </t>
  </si>
  <si>
    <t xml:space="preserve">- online courses, </t>
  </si>
  <si>
    <t>- desk based learning,</t>
  </si>
  <si>
    <t>- to ensure a common approach to CPD is adopted across GORS.</t>
  </si>
  <si>
    <t>It is recognised that the number of hours may fluctuate from year to year, but averaged over a five year period the minimum levels of OR CPD must be achieved.</t>
  </si>
  <si>
    <t>Line managers of those in the GORS are expected to recognise CPD as a professional requirement and provide assistance to ensure that it is accomplished.</t>
  </si>
  <si>
    <t>Ideally all members of the GORS will have an OR (any grade) involved in the planning and assessment of their learning – this will either be a member of their line management chain or a representative of the Head of Profession, e.g. OR mentor.</t>
  </si>
  <si>
    <t>5 year average OR</t>
  </si>
  <si>
    <t>Involvement in collaborative or corporate GORS initiatives</t>
  </si>
  <si>
    <t>2025-26</t>
  </si>
  <si>
    <t>2026-27</t>
  </si>
  <si>
    <t>2027-28</t>
  </si>
  <si>
    <t>2028-29</t>
  </si>
  <si>
    <t>2029-30</t>
  </si>
  <si>
    <t>e-learning</t>
  </si>
  <si>
    <t>Desk-based learning</t>
  </si>
  <si>
    <t>OR/Data Science CPD</t>
  </si>
  <si>
    <t>GORS CPD Log Book</t>
  </si>
  <si>
    <t>2019-2020</t>
  </si>
  <si>
    <r>
      <t xml:space="preserve">OR skill or broader behaviour
</t>
    </r>
    <r>
      <rPr>
        <b/>
        <sz val="10"/>
        <color theme="4"/>
        <rFont val="Arial"/>
        <family val="2"/>
      </rPr>
      <t xml:space="preserve">select from drop down menu </t>
    </r>
  </si>
  <si>
    <t>Seeing the Big Picture</t>
  </si>
  <si>
    <t>Changing and Improving</t>
  </si>
  <si>
    <t>Making Effective Decisions</t>
  </si>
  <si>
    <t>Leadership</t>
  </si>
  <si>
    <t>Communicating and Influencing</t>
  </si>
  <si>
    <t>Success Profile Behaviours</t>
  </si>
  <si>
    <t>Working Together</t>
  </si>
  <si>
    <t>Developing Self and Others</t>
  </si>
  <si>
    <t>Managing a Quality Service</t>
  </si>
  <si>
    <t>Delivering at Pace</t>
  </si>
  <si>
    <t>3. In cells C8 to E8, enter details of your current post, current grade and the date that this took effect.</t>
  </si>
  <si>
    <t>4. In column J, record the type of development activity from the drop down box.</t>
  </si>
  <si>
    <t>5. Enter the date of the development activity, and the number of hours to record.</t>
  </si>
  <si>
    <t>1. On the 'Front page' tab, enter the name of the manager responsible for signing off your OR development in the relevant box. If the person who signs off your broader skills is a different person, enter their name in the relevant box.</t>
  </si>
  <si>
    <t>It is compulsory for ORs and Data Scientists in the Government Operational Research Service (GORS) to continue their professional development and to record the development activities in this log book. Maintaining effective CPD is part of your role as a professional Operational Researcher or Data Scientist.</t>
  </si>
  <si>
    <r>
      <t xml:space="preserve">The GORS guideline for CPD is a </t>
    </r>
    <r>
      <rPr>
        <b/>
        <sz val="12"/>
        <rFont val="Arial"/>
        <family val="2"/>
      </rPr>
      <t xml:space="preserve">minimum 100 hours per year, of which at least 50 hours should be OR focused. </t>
    </r>
    <r>
      <rPr>
        <sz val="12"/>
        <rFont val="Arial"/>
        <family val="2"/>
      </rPr>
      <t>The guideline is pro-rata for part-time workers.</t>
    </r>
  </si>
  <si>
    <r>
      <t>The 50 hours of OR is a compulsory minimum requirement, but there is no upper limit.</t>
    </r>
    <r>
      <rPr>
        <b/>
        <sz val="12"/>
        <rFont val="Arial"/>
        <family val="2"/>
      </rPr>
      <t xml:space="preserve"> </t>
    </r>
  </si>
  <si>
    <r>
      <t xml:space="preserve">5. To print your log book, simply click on the button 'click to print your log book'. </t>
    </r>
    <r>
      <rPr>
        <b/>
        <i/>
        <sz val="12"/>
        <color rgb="FF0070C0"/>
        <rFont val="Arial"/>
        <family val="2"/>
      </rPr>
      <t>Top tip</t>
    </r>
    <r>
      <rPr>
        <i/>
        <sz val="12"/>
        <color rgb="FF0070C0"/>
        <rFont val="Arial"/>
        <family val="2"/>
      </rPr>
      <t>: if you have CutePDF installed on your computer, print using this option. Rather than producing a paper printout, this will convert your CPD into a pdf file.</t>
    </r>
  </si>
  <si>
    <t xml:space="preserve"> </t>
  </si>
  <si>
    <t>- to provide a process for recording and endorsing professional development throughout one’s career; and,</t>
  </si>
  <si>
    <r>
      <t>GORS members on interview boards may</t>
    </r>
    <r>
      <rPr>
        <b/>
        <sz val="12"/>
        <color rgb="FFFF0000"/>
        <rFont val="Arial"/>
        <family val="2"/>
      </rPr>
      <t xml:space="preserve"> </t>
    </r>
    <r>
      <rPr>
        <sz val="12"/>
        <rFont val="Arial"/>
        <family val="2"/>
      </rPr>
      <t>ask for your 'CPD Log Book' and check that you have met the guideline. The information will show boards how you are developing professionally.</t>
    </r>
  </si>
  <si>
    <t>FTE:</t>
  </si>
  <si>
    <t>2020-2021</t>
  </si>
  <si>
    <r>
      <t xml:space="preserve">Further information and guidance can be found </t>
    </r>
    <r>
      <rPr>
        <b/>
        <sz val="12"/>
        <color rgb="FFFF0000"/>
        <rFont val="Arial"/>
        <family val="2"/>
      </rPr>
      <t>here.</t>
    </r>
  </si>
  <si>
    <t>1. Decide whether your development action relates to your OR skills, or to the broader Success Profile Behaviours. Select from the drop down in column B.</t>
  </si>
  <si>
    <t>3. In column D, choose a Behaviour area from the drop down box. This drop down box changes depending on whether you selected 'Technical (OR/Data Science)' or 'Non-Technical (wider CS Behaviours)' in column B. Choose the competency or theme that fits most closely.</t>
  </si>
  <si>
    <t>3. Click on the button 'click to add new year'. This will prompt you to enter the date for the next year's log, add a new sheet for the that year, and will add the name of that year (eg "2020-2021") in the manager sign off box.</t>
  </si>
  <si>
    <t>In this log, you can record your learning activities against the relevant competencies; both the purely OR competencies in the GORS competency framework but also broader behaviours as set out in the civil service Success Profiles framework.</t>
  </si>
  <si>
    <t>The CPD process, and this log, have the following aims:</t>
  </si>
  <si>
    <t>- to help you to continuously develop your professional skills;</t>
  </si>
  <si>
    <t>- to underpin the GORS Competency Framework and support the Civil Service Success Profiles framework;</t>
  </si>
  <si>
    <r>
      <t>CPD activities should be focussed on learning something new and relevant. It is sometimes helpful to refresh old knowledge, but the focus is on providing new insights, competencies, behaviours or learning. It is always the outcome of the learning rather than the method that matters</t>
    </r>
    <r>
      <rPr>
        <u/>
        <sz val="12"/>
        <rFont val="Arial"/>
        <family val="2"/>
      </rPr>
      <t>.</t>
    </r>
    <r>
      <rPr>
        <sz val="12"/>
        <rFont val="Arial"/>
        <family val="2"/>
      </rPr>
      <t xml:space="preserve"> Any activity can count as CPD so long as something new and relevant has been learnt. </t>
    </r>
  </si>
  <si>
    <r>
      <t xml:space="preserve">This spreadsheet is designed to keep a record of the learning and development you have done to maintain and develop your skills and behaviours. It should be simple and intuitive to use, but this instruction page gives you some hints and tips.  Further information and guidance can be found </t>
    </r>
    <r>
      <rPr>
        <b/>
        <sz val="12"/>
        <rFont val="Arial"/>
        <family val="2"/>
      </rPr>
      <t>here</t>
    </r>
    <r>
      <rPr>
        <sz val="12"/>
        <rFont val="Arial"/>
        <family val="2"/>
      </rPr>
      <t>.</t>
    </r>
  </si>
  <si>
    <t>New Manager Programme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</si>
</sst>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9">
    <font>
      <sz val="10"/>
      <name val="Arial"/>
    </font>
    <font>
      <b/>
      <sz val="10"/>
      <name val="Arial"/>
      <family val="2"/>
    </font>
    <font>
      <sz val="8"/>
      <name val="Arial"/>
      <family val="2"/>
    </font>
    <font>
      <sz val="11"/>
      <name val="Calibri"/>
      <family val="2"/>
    </font>
    <font>
      <b/>
      <sz val="11"/>
      <name val="Calibri"/>
      <family val="2"/>
    </font>
    <font>
      <sz val="10"/>
      <name val="Arial"/>
      <family val="2"/>
    </font>
    <font>
      <b/>
      <sz val="18"/>
      <name val="Arial"/>
      <family val="2"/>
    </font>
    <font>
      <b/>
      <sz val="10"/>
      <color theme="4"/>
      <name val="Arial"/>
      <family val="2"/>
    </font>
    <font>
      <b/>
      <sz val="12"/>
      <color rgb="FF000000"/>
      <name val="Arial"/>
      <family val="2"/>
    </font>
    <font>
      <sz val="12"/>
      <name val="Arial"/>
      <family val="2"/>
    </font>
    <font>
      <sz val="10"/>
      <color rgb="FF0000FF"/>
      <name val="Arial"/>
      <family val="2"/>
    </font>
    <font>
      <b/>
      <sz val="16"/>
      <name val="Arial"/>
      <family val="2"/>
    </font>
    <font>
      <b/>
      <sz val="22"/>
      <name val="Arial"/>
      <family val="2"/>
    </font>
    <font>
      <b/>
      <sz val="14"/>
      <name val="Arial"/>
      <family val="2"/>
    </font>
    <font>
      <sz val="16"/>
      <name val="Arial"/>
      <family val="2"/>
    </font>
    <font>
      <sz val="18"/>
      <color rgb="FFFF0000"/>
      <name val="Arial"/>
      <family val="2"/>
    </font>
    <font>
      <b/>
      <sz val="18"/>
      <color rgb="FFFF0000"/>
      <name val="Arial"/>
      <family val="2"/>
    </font>
    <font>
      <sz val="10"/>
      <color rgb="FF3E3E3E"/>
      <name val="Arial Unicode MS"/>
      <family val="2"/>
    </font>
    <font>
      <b/>
      <sz val="10"/>
      <color rgb="FFFF0000"/>
      <name val="Arial"/>
      <family val="2"/>
    </font>
    <font>
      <b/>
      <sz val="10"/>
      <color theme="4" tint="-0.249977111117893"/>
      <name val="Arial"/>
      <family val="2"/>
    </font>
    <font>
      <sz val="11"/>
      <color rgb="FF1F497D"/>
      <name val="Calibri"/>
      <family val="2"/>
    </font>
    <font>
      <sz val="11"/>
      <color rgb="FF1F497D"/>
      <name val="Symbol"/>
      <family val="1"/>
      <charset val="2"/>
    </font>
    <font>
      <b/>
      <sz val="12"/>
      <name val="Arial"/>
      <family val="2"/>
    </font>
    <font>
      <b/>
      <sz val="12"/>
      <color rgb="FFFF0000"/>
      <name val="Arial"/>
      <family val="2"/>
    </font>
    <font>
      <u/>
      <sz val="12"/>
      <name val="Arial"/>
      <family val="2"/>
    </font>
    <font>
      <sz val="12"/>
      <color rgb="FF000000"/>
      <name val="Arial"/>
      <family val="2"/>
    </font>
    <font>
      <sz val="12"/>
      <color theme="0"/>
      <name val="Arial"/>
      <family val="2"/>
    </font>
    <font>
      <i/>
      <sz val="12"/>
      <color rgb="FF0070C0"/>
      <name val="Arial"/>
      <family val="2"/>
    </font>
    <font>
      <b/>
      <i/>
      <sz val="12"/>
      <color rgb="FF0070C0"/>
      <name val="Arial"/>
      <family val="2"/>
    </font>
  </fonts>
  <fills count="7">
    <fill>
      <patternFill patternType="none"/>
    </fill>
    <fill>
      <patternFill patternType="gray125"/>
    </fill>
    <fill>
      <patternFill patternType="solid">
        <fgColor theme="0"/>
        <bgColor theme="0"/>
      </patternFill>
    </fill>
    <fill>
      <patternFill patternType="solid">
        <fgColor theme="0"/>
        <bgColor indexed="64"/>
      </patternFill>
    </fill>
    <fill>
      <patternFill patternType="solid">
        <fgColor indexed="9"/>
        <bgColor indexed="64"/>
      </patternFill>
    </fill>
    <fill>
      <patternFill patternType="solid">
        <fgColor theme="0" tint="-0.499984740745262"/>
        <bgColor indexed="64"/>
      </patternFill>
    </fill>
    <fill>
      <patternFill patternType="solid">
        <fgColor theme="0" tint="-0.249977111117893"/>
        <bgColor indexed="64"/>
      </patternFill>
    </fill>
  </fills>
  <borders count="20">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1">
    <xf numFmtId="0" fontId="0" fillId="0" borderId="0"/>
  </cellStyleXfs>
  <cellXfs count="127">
    <xf numFmtId="0" fontId="0" fillId="0" borderId="0" xfId="0"/>
    <xf numFmtId="0" fontId="3" fillId="0" borderId="3" xfId="0" applyFont="1" applyFill="1" applyBorder="1" applyAlignment="1">
      <alignment horizontal="left" vertical="top" wrapText="1"/>
    </xf>
    <xf numFmtId="0" fontId="3" fillId="0" borderId="5" xfId="0" applyFont="1" applyFill="1" applyBorder="1" applyAlignment="1">
      <alignment horizontal="left" vertical="top" wrapText="1"/>
    </xf>
    <xf numFmtId="0" fontId="4" fillId="0" borderId="6" xfId="0" applyFont="1" applyFill="1" applyBorder="1" applyAlignment="1">
      <alignment horizontal="left"/>
    </xf>
    <xf numFmtId="0" fontId="3" fillId="0" borderId="3" xfId="0" applyFont="1" applyBorder="1" applyAlignment="1">
      <alignment vertical="top" wrapText="1"/>
    </xf>
    <xf numFmtId="0" fontId="3" fillId="0" borderId="4" xfId="0" applyFont="1" applyBorder="1" applyAlignment="1">
      <alignment vertical="top" wrapText="1"/>
    </xf>
    <xf numFmtId="0" fontId="4" fillId="0" borderId="7" xfId="0" applyFont="1" applyFill="1" applyBorder="1" applyAlignment="1">
      <alignment horizontal="left"/>
    </xf>
    <xf numFmtId="0" fontId="3" fillId="0" borderId="8" xfId="0" applyFont="1" applyBorder="1" applyAlignment="1">
      <alignment vertical="top" wrapText="1"/>
    </xf>
    <xf numFmtId="0" fontId="3" fillId="0" borderId="9" xfId="0" applyFont="1" applyBorder="1" applyAlignment="1">
      <alignment vertical="top" wrapText="1"/>
    </xf>
    <xf numFmtId="2" fontId="0" fillId="0" borderId="2" xfId="0" applyNumberFormat="1" applyBorder="1" applyAlignment="1">
      <alignment horizontal="center"/>
    </xf>
    <xf numFmtId="0" fontId="1" fillId="0" borderId="7" xfId="0" applyFont="1" applyBorder="1"/>
    <xf numFmtId="0" fontId="0" fillId="0" borderId="12" xfId="0" applyBorder="1"/>
    <xf numFmtId="0" fontId="5" fillId="0" borderId="12" xfId="0" applyFont="1" applyBorder="1" applyAlignment="1">
      <alignment vertical="center"/>
    </xf>
    <xf numFmtId="0" fontId="0" fillId="0" borderId="13" xfId="0" applyBorder="1"/>
    <xf numFmtId="0" fontId="5" fillId="0" borderId="0" xfId="0" applyFont="1"/>
    <xf numFmtId="0" fontId="5" fillId="0" borderId="12" xfId="0" applyFont="1" applyBorder="1"/>
    <xf numFmtId="0" fontId="5" fillId="0" borderId="13" xfId="0" applyFont="1" applyBorder="1"/>
    <xf numFmtId="0" fontId="3" fillId="0" borderId="0" xfId="0" applyFont="1" applyBorder="1" applyAlignment="1">
      <alignment vertical="top" wrapText="1"/>
    </xf>
    <xf numFmtId="0" fontId="1" fillId="0" borderId="1" xfId="0" applyFont="1" applyBorder="1" applyAlignment="1"/>
    <xf numFmtId="0" fontId="8" fillId="0" borderId="0" xfId="0" applyFont="1"/>
    <xf numFmtId="0" fontId="9" fillId="0" borderId="0" xfId="0" applyFont="1"/>
    <xf numFmtId="0" fontId="1" fillId="0" borderId="1" xfId="0" applyFont="1" applyBorder="1" applyAlignment="1">
      <alignment horizontal="center"/>
    </xf>
    <xf numFmtId="0" fontId="1" fillId="0" borderId="2" xfId="0" applyFont="1" applyBorder="1" applyAlignment="1">
      <alignment horizontal="center"/>
    </xf>
    <xf numFmtId="0" fontId="0" fillId="0" borderId="0" xfId="0" applyFill="1"/>
    <xf numFmtId="0" fontId="1" fillId="0" borderId="0" xfId="0" applyFont="1" applyFill="1" applyAlignment="1">
      <alignment vertical="center"/>
    </xf>
    <xf numFmtId="0" fontId="5" fillId="0" borderId="0" xfId="0" applyFont="1" applyFill="1"/>
    <xf numFmtId="0" fontId="6" fillId="0" borderId="0" xfId="0" applyFont="1" applyFill="1" applyBorder="1" applyAlignment="1">
      <alignment horizontal="center" vertical="top"/>
    </xf>
    <xf numFmtId="0" fontId="5" fillId="0" borderId="2" xfId="0" applyFont="1" applyFill="1" applyBorder="1"/>
    <xf numFmtId="0" fontId="3" fillId="0" borderId="12" xfId="0" applyFont="1" applyBorder="1" applyAlignment="1">
      <alignment vertical="top" wrapText="1"/>
    </xf>
    <xf numFmtId="0" fontId="3" fillId="0" borderId="13" xfId="0" applyFont="1" applyBorder="1" applyAlignment="1">
      <alignment vertical="top" wrapText="1"/>
    </xf>
    <xf numFmtId="0" fontId="0" fillId="2" borderId="0" xfId="0" applyFill="1" applyBorder="1"/>
    <xf numFmtId="0" fontId="0" fillId="3" borderId="0" xfId="0" applyFill="1"/>
    <xf numFmtId="0" fontId="0" fillId="2" borderId="0" xfId="0" applyFill="1" applyBorder="1" applyAlignment="1">
      <alignment vertical="center"/>
    </xf>
    <xf numFmtId="0" fontId="1" fillId="2" borderId="0" xfId="0" applyFont="1" applyFill="1" applyBorder="1" applyAlignment="1">
      <alignment horizontal="center" vertical="center"/>
    </xf>
    <xf numFmtId="0" fontId="10" fillId="0" borderId="2" xfId="0" applyFont="1" applyFill="1" applyBorder="1" applyAlignment="1">
      <alignment horizontal="left" vertical="center" wrapText="1"/>
    </xf>
    <xf numFmtId="0" fontId="10" fillId="0" borderId="2" xfId="0" applyFont="1" applyFill="1" applyBorder="1" applyAlignment="1">
      <alignment vertical="center" wrapText="1"/>
    </xf>
    <xf numFmtId="2" fontId="10" fillId="0" borderId="2" xfId="0" applyNumberFormat="1" applyFont="1" applyFill="1" applyBorder="1" applyAlignment="1">
      <alignment horizontal="center" vertical="center"/>
    </xf>
    <xf numFmtId="0" fontId="12" fillId="3" borderId="0" xfId="0" applyFont="1" applyFill="1" applyBorder="1" applyAlignment="1">
      <alignment horizontal="center" vertical="center"/>
    </xf>
    <xf numFmtId="0" fontId="13" fillId="3" borderId="0" xfId="0" applyFont="1" applyFill="1" applyBorder="1" applyAlignment="1">
      <alignment horizontal="right" vertical="top" wrapText="1"/>
    </xf>
    <xf numFmtId="0" fontId="0" fillId="3" borderId="0" xfId="0" applyFill="1" applyBorder="1" applyAlignment="1">
      <alignment horizontal="center" vertical="top" wrapText="1"/>
    </xf>
    <xf numFmtId="0" fontId="1" fillId="3" borderId="0" xfId="0" applyFont="1" applyFill="1" applyBorder="1" applyAlignment="1">
      <alignment vertical="top"/>
    </xf>
    <xf numFmtId="0" fontId="13" fillId="3" borderId="0" xfId="0" applyFont="1" applyFill="1" applyBorder="1" applyAlignment="1">
      <alignment vertical="center"/>
    </xf>
    <xf numFmtId="0" fontId="13" fillId="3" borderId="0" xfId="0" applyFont="1" applyFill="1" applyBorder="1" applyAlignment="1">
      <alignment horizontal="right" vertical="center" wrapText="1"/>
    </xf>
    <xf numFmtId="0" fontId="16" fillId="2" borderId="2" xfId="0" applyFont="1" applyFill="1" applyBorder="1"/>
    <xf numFmtId="0" fontId="11" fillId="0" borderId="0" xfId="0" applyFont="1" applyFill="1" applyBorder="1" applyAlignment="1">
      <alignment horizontal="center" vertical="center"/>
    </xf>
    <xf numFmtId="0" fontId="6" fillId="0" borderId="0" xfId="0" applyFont="1" applyFill="1" applyBorder="1" applyAlignment="1">
      <alignment vertical="top"/>
    </xf>
    <xf numFmtId="0" fontId="11" fillId="0" borderId="11" xfId="0" applyFont="1" applyFill="1" applyBorder="1" applyAlignment="1">
      <alignment horizontal="center" vertical="center"/>
    </xf>
    <xf numFmtId="2" fontId="17" fillId="0" borderId="2" xfId="0" applyNumberFormat="1" applyFont="1" applyBorder="1" applyAlignment="1">
      <alignment horizontal="center"/>
    </xf>
    <xf numFmtId="0" fontId="18" fillId="0" borderId="0" xfId="0" applyFont="1"/>
    <xf numFmtId="0" fontId="15" fillId="2" borderId="15" xfId="0" applyFont="1" applyFill="1" applyBorder="1" applyAlignment="1">
      <alignment wrapText="1"/>
    </xf>
    <xf numFmtId="0" fontId="6" fillId="0" borderId="2" xfId="0" applyFont="1" applyFill="1" applyBorder="1" applyAlignment="1">
      <alignment horizontal="center" vertical="top"/>
    </xf>
    <xf numFmtId="0" fontId="20" fillId="0" borderId="0" xfId="0" applyFont="1" applyAlignment="1">
      <alignment vertical="center"/>
    </xf>
    <xf numFmtId="0" fontId="21" fillId="0" borderId="0" xfId="0" applyFont="1" applyAlignment="1">
      <alignment horizontal="left" vertical="center" indent="4"/>
    </xf>
    <xf numFmtId="49" fontId="10" fillId="0" borderId="2" xfId="0" applyNumberFormat="1" applyFont="1" applyFill="1" applyBorder="1" applyAlignment="1">
      <alignment horizontal="center" vertical="center" wrapText="1"/>
    </xf>
    <xf numFmtId="0" fontId="1" fillId="0" borderId="2" xfId="0" applyFont="1" applyBorder="1" applyAlignment="1">
      <alignment horizontal="center"/>
    </xf>
    <xf numFmtId="2" fontId="0" fillId="0" borderId="2" xfId="0" applyNumberFormat="1" applyBorder="1" applyAlignment="1">
      <alignment horizontal="center"/>
    </xf>
    <xf numFmtId="0" fontId="3" fillId="0" borderId="5" xfId="0" applyFont="1" applyBorder="1" applyAlignment="1">
      <alignment vertical="top" wrapText="1"/>
    </xf>
    <xf numFmtId="2" fontId="0" fillId="5" borderId="2" xfId="0" applyNumberFormat="1" applyFill="1" applyBorder="1" applyAlignment="1">
      <alignment horizontal="center"/>
    </xf>
    <xf numFmtId="2" fontId="17" fillId="6" borderId="2" xfId="0" applyNumberFormat="1" applyFont="1" applyFill="1" applyBorder="1" applyAlignment="1">
      <alignment horizontal="center"/>
    </xf>
    <xf numFmtId="2" fontId="5" fillId="6" borderId="2" xfId="0" applyNumberFormat="1" applyFont="1" applyFill="1" applyBorder="1" applyAlignment="1">
      <alignment horizontal="center"/>
    </xf>
    <xf numFmtId="2" fontId="0" fillId="0" borderId="1" xfId="0" applyNumberFormat="1" applyBorder="1" applyAlignment="1">
      <alignment horizontal="center" vertical="center"/>
    </xf>
    <xf numFmtId="2" fontId="0" fillId="0" borderId="2" xfId="0" applyNumberFormat="1" applyBorder="1" applyAlignment="1">
      <alignment horizontal="center" vertical="center"/>
    </xf>
    <xf numFmtId="0" fontId="13" fillId="2" borderId="0" xfId="0" applyFont="1" applyFill="1" applyBorder="1" applyAlignment="1">
      <alignment horizontal="left" vertical="center"/>
    </xf>
    <xf numFmtId="0" fontId="22" fillId="3" borderId="2" xfId="0" applyFont="1" applyFill="1" applyBorder="1" applyAlignment="1">
      <alignment vertical="center" wrapText="1"/>
    </xf>
    <xf numFmtId="0" fontId="22" fillId="2" borderId="2" xfId="0" applyFont="1" applyFill="1" applyBorder="1" applyAlignment="1">
      <alignment vertical="center"/>
    </xf>
    <xf numFmtId="0" fontId="22" fillId="2" borderId="0" xfId="0" applyFont="1" applyFill="1" applyBorder="1" applyAlignment="1">
      <alignment vertical="center"/>
    </xf>
    <xf numFmtId="0" fontId="22" fillId="2" borderId="1" xfId="0" applyFont="1" applyFill="1" applyBorder="1" applyAlignment="1">
      <alignment vertical="center"/>
    </xf>
    <xf numFmtId="0" fontId="22" fillId="2" borderId="10" xfId="0" applyFont="1" applyFill="1" applyBorder="1" applyAlignment="1">
      <alignment vertical="center"/>
    </xf>
    <xf numFmtId="0" fontId="22" fillId="2" borderId="14" xfId="0" applyFont="1" applyFill="1" applyBorder="1" applyAlignment="1">
      <alignment vertical="center"/>
    </xf>
    <xf numFmtId="0" fontId="22" fillId="0" borderId="2" xfId="0" applyFont="1" applyFill="1" applyBorder="1" applyAlignment="1">
      <alignment horizontal="center" wrapText="1"/>
    </xf>
    <xf numFmtId="164" fontId="22" fillId="0" borderId="2" xfId="0" applyNumberFormat="1" applyFont="1" applyFill="1" applyBorder="1" applyAlignment="1">
      <alignment wrapText="1"/>
    </xf>
    <xf numFmtId="0" fontId="9" fillId="2" borderId="2" xfId="0" applyFont="1" applyFill="1" applyBorder="1"/>
    <xf numFmtId="0" fontId="9" fillId="0" borderId="2" xfId="0" applyFont="1" applyFill="1" applyBorder="1" applyAlignment="1">
      <alignment wrapText="1"/>
    </xf>
    <xf numFmtId="164" fontId="9" fillId="0" borderId="2" xfId="0" applyNumberFormat="1" applyFont="1" applyFill="1" applyBorder="1" applyAlignment="1">
      <alignment wrapText="1"/>
    </xf>
    <xf numFmtId="0" fontId="9" fillId="0" borderId="0" xfId="0" applyFont="1" applyAlignment="1">
      <alignment wrapText="1"/>
    </xf>
    <xf numFmtId="0" fontId="13" fillId="0" borderId="0" xfId="0" applyFont="1" applyAlignment="1">
      <alignment wrapText="1"/>
    </xf>
    <xf numFmtId="0" fontId="9" fillId="0" borderId="0" xfId="0" quotePrefix="1" applyFont="1" applyAlignment="1">
      <alignment wrapText="1"/>
    </xf>
    <xf numFmtId="0" fontId="25" fillId="0" borderId="0" xfId="0" applyFont="1" applyAlignment="1">
      <alignment horizontal="left" vertical="center" wrapText="1"/>
    </xf>
    <xf numFmtId="0" fontId="22" fillId="0" borderId="0" xfId="0" applyFont="1" applyAlignment="1">
      <alignment wrapText="1"/>
    </xf>
    <xf numFmtId="0" fontId="26" fillId="4" borderId="16" xfId="0" applyFont="1" applyFill="1" applyBorder="1" applyAlignment="1"/>
    <xf numFmtId="0" fontId="9" fillId="4" borderId="11" xfId="0" applyFont="1" applyFill="1" applyBorder="1" applyAlignment="1"/>
    <xf numFmtId="0" fontId="9" fillId="4" borderId="17" xfId="0" applyFont="1" applyFill="1" applyBorder="1" applyAlignment="1"/>
    <xf numFmtId="0" fontId="9" fillId="4" borderId="18" xfId="0" applyFont="1" applyFill="1" applyBorder="1" applyAlignment="1"/>
    <xf numFmtId="0" fontId="9" fillId="4" borderId="0" xfId="0" applyFont="1" applyFill="1" applyBorder="1" applyAlignment="1"/>
    <xf numFmtId="0" fontId="22" fillId="4" borderId="0" xfId="0" applyFont="1" applyFill="1" applyBorder="1" applyAlignment="1">
      <alignment horizontal="center" vertical="center" wrapText="1"/>
    </xf>
    <xf numFmtId="0" fontId="22" fillId="4" borderId="0" xfId="0" applyFont="1" applyFill="1" applyBorder="1" applyAlignment="1">
      <alignment horizontal="center" vertical="center"/>
    </xf>
    <xf numFmtId="0" fontId="22" fillId="4" borderId="19" xfId="0" applyFont="1" applyFill="1" applyBorder="1" applyAlignment="1">
      <alignment horizontal="center" vertical="center"/>
    </xf>
    <xf numFmtId="0" fontId="22" fillId="4" borderId="0" xfId="0" applyFont="1" applyFill="1" applyBorder="1" applyAlignment="1"/>
    <xf numFmtId="0" fontId="22" fillId="4" borderId="0" xfId="0" applyFont="1" applyFill="1" applyBorder="1" applyAlignment="1">
      <alignment horizontal="center" vertical="top"/>
    </xf>
    <xf numFmtId="0" fontId="22" fillId="4" borderId="19" xfId="0" applyFont="1" applyFill="1" applyBorder="1" applyAlignment="1">
      <alignment horizontal="center" vertical="top"/>
    </xf>
    <xf numFmtId="0" fontId="22" fillId="4" borderId="0" xfId="0" quotePrefix="1" applyFont="1" applyFill="1" applyBorder="1" applyAlignment="1"/>
    <xf numFmtId="0" fontId="9" fillId="0" borderId="0" xfId="0" applyFont="1" applyBorder="1" applyAlignment="1">
      <alignment wrapText="1"/>
    </xf>
    <xf numFmtId="0" fontId="27" fillId="0" borderId="0" xfId="0" applyFont="1" applyAlignment="1">
      <alignment wrapText="1"/>
    </xf>
    <xf numFmtId="0" fontId="22" fillId="0" borderId="0" xfId="0" applyFont="1" applyBorder="1" applyAlignment="1"/>
    <xf numFmtId="0" fontId="9" fillId="0" borderId="0" xfId="0" applyFont="1" applyBorder="1" applyAlignment="1">
      <alignment horizontal="left" wrapText="1"/>
    </xf>
    <xf numFmtId="0" fontId="27" fillId="0" borderId="0" xfId="0" applyFont="1" applyBorder="1" applyAlignment="1">
      <alignment horizontal="left" wrapText="1"/>
    </xf>
    <xf numFmtId="0" fontId="22" fillId="0" borderId="0" xfId="0" applyFont="1" applyBorder="1" applyAlignment="1">
      <alignment wrapText="1"/>
    </xf>
    <xf numFmtId="0" fontId="9" fillId="4" borderId="0" xfId="0" quotePrefix="1" applyFont="1" applyFill="1" applyBorder="1" applyAlignment="1">
      <alignment horizontal="left" wrapText="1"/>
    </xf>
    <xf numFmtId="0" fontId="22" fillId="2" borderId="2" xfId="0" applyFont="1" applyFill="1" applyBorder="1" applyAlignment="1">
      <alignment vertical="center" wrapText="1"/>
    </xf>
    <xf numFmtId="14" fontId="10" fillId="0" borderId="2" xfId="0" applyNumberFormat="1" applyFont="1" applyFill="1" applyBorder="1" applyAlignment="1">
      <alignment horizontal="center" vertical="center" wrapText="1"/>
    </xf>
    <xf numFmtId="14" fontId="0" fillId="0" borderId="0" xfId="0" applyNumberFormat="1" applyFill="1"/>
    <xf numFmtId="0" fontId="9" fillId="0" borderId="0" xfId="0" applyFont="1" applyBorder="1" applyAlignment="1">
      <alignment wrapText="1"/>
    </xf>
    <xf numFmtId="0" fontId="9" fillId="0" borderId="0" xfId="0" applyFont="1" applyAlignment="1">
      <alignment wrapText="1"/>
    </xf>
    <xf numFmtId="0" fontId="9" fillId="0" borderId="0" xfId="0" applyFont="1" applyBorder="1" applyAlignment="1">
      <alignment horizontal="left" vertical="center" wrapText="1"/>
    </xf>
    <xf numFmtId="0" fontId="9" fillId="0" borderId="0" xfId="0" applyFont="1" applyBorder="1" applyAlignment="1">
      <alignment horizontal="left" vertical="top" wrapText="1"/>
    </xf>
    <xf numFmtId="0" fontId="9" fillId="4" borderId="0" xfId="0" quotePrefix="1" applyFont="1" applyFill="1" applyBorder="1" applyAlignment="1">
      <alignment horizontal="left" vertical="center" wrapText="1"/>
    </xf>
    <xf numFmtId="0" fontId="9" fillId="0" borderId="0" xfId="0" quotePrefix="1" applyFont="1" applyBorder="1" applyAlignment="1">
      <alignment wrapText="1"/>
    </xf>
    <xf numFmtId="0" fontId="9" fillId="0" borderId="0" xfId="0" applyFont="1" applyBorder="1" applyAlignment="1">
      <alignment horizontal="left" wrapText="1"/>
    </xf>
    <xf numFmtId="0" fontId="9" fillId="2" borderId="1" xfId="0" applyFont="1" applyFill="1" applyBorder="1" applyAlignment="1">
      <alignment horizontal="center"/>
    </xf>
    <xf numFmtId="0" fontId="9" fillId="2" borderId="10" xfId="0" applyFont="1" applyFill="1" applyBorder="1" applyAlignment="1">
      <alignment horizontal="center"/>
    </xf>
    <xf numFmtId="0" fontId="9" fillId="2" borderId="14" xfId="0" applyFont="1" applyFill="1" applyBorder="1" applyAlignment="1">
      <alignment horizontal="center"/>
    </xf>
    <xf numFmtId="0" fontId="22" fillId="0" borderId="1" xfId="0" applyFont="1" applyFill="1" applyBorder="1" applyAlignment="1">
      <alignment horizontal="center" vertical="center" wrapText="1"/>
    </xf>
    <xf numFmtId="0" fontId="22" fillId="0" borderId="14" xfId="0" applyFont="1" applyFill="1" applyBorder="1" applyAlignment="1">
      <alignment horizontal="center" vertical="center" wrapText="1"/>
    </xf>
    <xf numFmtId="0" fontId="12" fillId="3" borderId="0" xfId="0" applyFont="1" applyFill="1" applyBorder="1" applyAlignment="1">
      <alignment horizontal="center" vertical="center"/>
    </xf>
    <xf numFmtId="0" fontId="0" fillId="3" borderId="1" xfId="0" applyFill="1" applyBorder="1" applyAlignment="1">
      <alignment horizontal="center" vertical="top" wrapText="1"/>
    </xf>
    <xf numFmtId="0" fontId="0" fillId="3" borderId="10" xfId="0" applyFill="1" applyBorder="1" applyAlignment="1">
      <alignment horizontal="center" vertical="top" wrapText="1"/>
    </xf>
    <xf numFmtId="0" fontId="0" fillId="3" borderId="14" xfId="0" applyFill="1" applyBorder="1" applyAlignment="1">
      <alignment horizontal="center" vertical="top" wrapText="1"/>
    </xf>
    <xf numFmtId="0" fontId="22" fillId="2" borderId="2" xfId="0" applyFont="1" applyFill="1" applyBorder="1" applyAlignment="1">
      <alignment horizontal="center" vertical="center"/>
    </xf>
    <xf numFmtId="0" fontId="22" fillId="0" borderId="10"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10" xfId="0" applyFont="1" applyFill="1" applyBorder="1" applyAlignment="1">
      <alignment horizontal="center" vertical="center"/>
    </xf>
    <xf numFmtId="0" fontId="1" fillId="0" borderId="2" xfId="0" applyFont="1" applyFill="1" applyBorder="1" applyAlignment="1">
      <alignment horizontal="center" vertical="center" wrapText="1"/>
    </xf>
    <xf numFmtId="0" fontId="14" fillId="0" borderId="2" xfId="0" applyFont="1" applyFill="1" applyBorder="1" applyAlignment="1">
      <alignment horizontal="center" vertical="center" wrapText="1"/>
    </xf>
    <xf numFmtId="0" fontId="1" fillId="0" borderId="2" xfId="0" applyFont="1" applyFill="1" applyBorder="1" applyAlignment="1">
      <alignment horizontal="center" vertical="center"/>
    </xf>
    <xf numFmtId="0" fontId="1" fillId="0" borderId="1" xfId="0" applyFont="1" applyBorder="1" applyAlignment="1">
      <alignment horizontal="center" vertical="center"/>
    </xf>
    <xf numFmtId="0" fontId="1" fillId="0" borderId="10" xfId="0" applyFont="1" applyBorder="1" applyAlignment="1">
      <alignment horizontal="center" vertical="center"/>
    </xf>
    <xf numFmtId="0" fontId="1" fillId="0" borderId="14" xfId="0" applyFont="1" applyBorder="1" applyAlignment="1">
      <alignment horizontal="center" vertical="center"/>
    </xf>
  </cellXfs>
  <cellStyles count="1">
    <cellStyle name="Normal" xfId="0" builtinId="0"/>
  </cellStyles>
  <dxfs count="0"/>
  <tableStyles count="0" defaultTableStyle="TableStyleMedium9" defaultPivotStyle="PivotStyleLight16"/>
  <colors>
    <mruColors>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fmlaLink="$F$17"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2" Type="http://schemas.openxmlformats.org/officeDocument/2006/relationships/image" Target="cid:image003.png@01D53327.63B27AC0"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cid:image003.png@01D53327.63B27AC0"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cid:image003.png@01D53327.63B27AC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cid:image003.png@01D53327.63B27AC0" TargetMode="Externa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cid:image003.png@01D53327.63B27AC0" TargetMode="External"/><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4</xdr:col>
      <xdr:colOff>9525</xdr:colOff>
      <xdr:row>1</xdr:row>
      <xdr:rowOff>86133</xdr:rowOff>
    </xdr:from>
    <xdr:to>
      <xdr:col>5</xdr:col>
      <xdr:colOff>542925</xdr:colOff>
      <xdr:row>3</xdr:row>
      <xdr:rowOff>211336</xdr:rowOff>
    </xdr:to>
    <xdr:pic>
      <xdr:nvPicPr>
        <xdr:cNvPr id="4" name="Picture 3" descr="GORS Logo Smal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13115925" y="133758"/>
          <a:ext cx="1504950" cy="5633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28575</xdr:colOff>
      <xdr:row>5</xdr:row>
      <xdr:rowOff>76200</xdr:rowOff>
    </xdr:from>
    <xdr:to>
      <xdr:col>2</xdr:col>
      <xdr:colOff>123825</xdr:colOff>
      <xdr:row>6</xdr:row>
      <xdr:rowOff>88902</xdr:rowOff>
    </xdr:to>
    <xdr:sp macro="" textlink="">
      <xdr:nvSpPr>
        <xdr:cNvPr id="6153" name="Text Box 1">
          <a:extLst>
            <a:ext uri="{FF2B5EF4-FFF2-40B4-BE49-F238E27FC236}">
              <a16:creationId xmlns:a16="http://schemas.microsoft.com/office/drawing/2014/main" id="{00000000-0008-0000-0100-000009180000}"/>
            </a:ext>
          </a:extLst>
        </xdr:cNvPr>
        <xdr:cNvSpPr txBox="1">
          <a:spLocks noChangeArrowheads="1"/>
        </xdr:cNvSpPr>
      </xdr:nvSpPr>
      <xdr:spPr bwMode="auto">
        <a:xfrm>
          <a:off x="638175" y="400050"/>
          <a:ext cx="95250" cy="200025"/>
        </a:xfrm>
        <a:prstGeom prst="rect">
          <a:avLst/>
        </a:prstGeom>
        <a:noFill/>
        <a:ln w="9525">
          <a:noFill/>
          <a:miter lim="800000"/>
          <a:headEnd/>
          <a:tailEnd/>
        </a:ln>
      </xdr:spPr>
    </xdr:sp>
    <xdr:clientData/>
  </xdr:twoCellAnchor>
  <xdr:twoCellAnchor>
    <xdr:from>
      <xdr:col>1</xdr:col>
      <xdr:colOff>14452600</xdr:colOff>
      <xdr:row>1</xdr:row>
      <xdr:rowOff>38100</xdr:rowOff>
    </xdr:from>
    <xdr:to>
      <xdr:col>2</xdr:col>
      <xdr:colOff>307219</xdr:colOff>
      <xdr:row>5</xdr:row>
      <xdr:rowOff>126396</xdr:rowOff>
    </xdr:to>
    <xdr:pic>
      <xdr:nvPicPr>
        <xdr:cNvPr id="5" name="Picture 4" descr="GORS Logo Small">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4668500" y="127000"/>
          <a:ext cx="2898019" cy="583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1066800</xdr:colOff>
          <xdr:row>7</xdr:row>
          <xdr:rowOff>200025</xdr:rowOff>
        </xdr:from>
        <xdr:to>
          <xdr:col>8</xdr:col>
          <xdr:colOff>581025</xdr:colOff>
          <xdr:row>9</xdr:row>
          <xdr:rowOff>95250</xdr:rowOff>
        </xdr:to>
        <xdr:sp macro="" textlink="">
          <xdr:nvSpPr>
            <xdr:cNvPr id="5127" name="CommandButton1"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1057275</xdr:colOff>
          <xdr:row>5</xdr:row>
          <xdr:rowOff>190500</xdr:rowOff>
        </xdr:from>
        <xdr:to>
          <xdr:col>8</xdr:col>
          <xdr:colOff>542925</xdr:colOff>
          <xdr:row>7</xdr:row>
          <xdr:rowOff>85725</xdr:rowOff>
        </xdr:to>
        <xdr:sp macro="" textlink="">
          <xdr:nvSpPr>
            <xdr:cNvPr id="5128" name="CommandButton2"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9</xdr:row>
          <xdr:rowOff>200025</xdr:rowOff>
        </xdr:from>
        <xdr:to>
          <xdr:col>8</xdr:col>
          <xdr:colOff>590550</xdr:colOff>
          <xdr:row>11</xdr:row>
          <xdr:rowOff>114300</xdr:rowOff>
        </xdr:to>
        <xdr:sp macro="" textlink="">
          <xdr:nvSpPr>
            <xdr:cNvPr id="5139" name="CommandButton3"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16</xdr:row>
          <xdr:rowOff>95250</xdr:rowOff>
        </xdr:from>
        <xdr:to>
          <xdr:col>10</xdr:col>
          <xdr:colOff>323850</xdr:colOff>
          <xdr:row>16</xdr:row>
          <xdr:rowOff>276225</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2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17</xdr:row>
          <xdr:rowOff>95250</xdr:rowOff>
        </xdr:from>
        <xdr:to>
          <xdr:col>10</xdr:col>
          <xdr:colOff>323850</xdr:colOff>
          <xdr:row>17</xdr:row>
          <xdr:rowOff>276225</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18</xdr:row>
          <xdr:rowOff>95250</xdr:rowOff>
        </xdr:from>
        <xdr:to>
          <xdr:col>10</xdr:col>
          <xdr:colOff>323850</xdr:colOff>
          <xdr:row>18</xdr:row>
          <xdr:rowOff>276225</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2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19</xdr:row>
          <xdr:rowOff>95250</xdr:rowOff>
        </xdr:from>
        <xdr:to>
          <xdr:col>10</xdr:col>
          <xdr:colOff>323850</xdr:colOff>
          <xdr:row>19</xdr:row>
          <xdr:rowOff>276225</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2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20</xdr:row>
          <xdr:rowOff>95250</xdr:rowOff>
        </xdr:from>
        <xdr:to>
          <xdr:col>10</xdr:col>
          <xdr:colOff>323850</xdr:colOff>
          <xdr:row>20</xdr:row>
          <xdr:rowOff>276225</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2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21</xdr:row>
          <xdr:rowOff>95250</xdr:rowOff>
        </xdr:from>
        <xdr:to>
          <xdr:col>10</xdr:col>
          <xdr:colOff>323850</xdr:colOff>
          <xdr:row>21</xdr:row>
          <xdr:rowOff>276225</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2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22</xdr:row>
          <xdr:rowOff>95250</xdr:rowOff>
        </xdr:from>
        <xdr:to>
          <xdr:col>10</xdr:col>
          <xdr:colOff>323850</xdr:colOff>
          <xdr:row>22</xdr:row>
          <xdr:rowOff>276225</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2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16</xdr:row>
          <xdr:rowOff>95250</xdr:rowOff>
        </xdr:from>
        <xdr:to>
          <xdr:col>6</xdr:col>
          <xdr:colOff>295275</xdr:colOff>
          <xdr:row>16</xdr:row>
          <xdr:rowOff>276225</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2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17</xdr:row>
          <xdr:rowOff>95250</xdr:rowOff>
        </xdr:from>
        <xdr:to>
          <xdr:col>6</xdr:col>
          <xdr:colOff>295275</xdr:colOff>
          <xdr:row>17</xdr:row>
          <xdr:rowOff>276225</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2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18</xdr:row>
          <xdr:rowOff>95250</xdr:rowOff>
        </xdr:from>
        <xdr:to>
          <xdr:col>6</xdr:col>
          <xdr:colOff>295275</xdr:colOff>
          <xdr:row>18</xdr:row>
          <xdr:rowOff>276225</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2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19</xdr:row>
          <xdr:rowOff>95250</xdr:rowOff>
        </xdr:from>
        <xdr:to>
          <xdr:col>6</xdr:col>
          <xdr:colOff>295275</xdr:colOff>
          <xdr:row>19</xdr:row>
          <xdr:rowOff>276225</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2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20</xdr:row>
          <xdr:rowOff>95250</xdr:rowOff>
        </xdr:from>
        <xdr:to>
          <xdr:col>6</xdr:col>
          <xdr:colOff>295275</xdr:colOff>
          <xdr:row>20</xdr:row>
          <xdr:rowOff>276225</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2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21</xdr:row>
          <xdr:rowOff>95250</xdr:rowOff>
        </xdr:from>
        <xdr:to>
          <xdr:col>6</xdr:col>
          <xdr:colOff>295275</xdr:colOff>
          <xdr:row>21</xdr:row>
          <xdr:rowOff>276225</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2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22</xdr:row>
          <xdr:rowOff>95250</xdr:rowOff>
        </xdr:from>
        <xdr:to>
          <xdr:col>6</xdr:col>
          <xdr:colOff>295275</xdr:colOff>
          <xdr:row>22</xdr:row>
          <xdr:rowOff>276225</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2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1266265</xdr:colOff>
      <xdr:row>2</xdr:row>
      <xdr:rowOff>51227</xdr:rowOff>
    </xdr:from>
    <xdr:to>
      <xdr:col>10</xdr:col>
      <xdr:colOff>893589</xdr:colOff>
      <xdr:row>4</xdr:row>
      <xdr:rowOff>433588</xdr:rowOff>
    </xdr:to>
    <xdr:pic>
      <xdr:nvPicPr>
        <xdr:cNvPr id="25" name="Picture 24" descr="GORS Logo Small">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3536706" y="757198"/>
          <a:ext cx="2865824" cy="1054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57150</xdr:rowOff>
        </xdr:from>
        <xdr:to>
          <xdr:col>4</xdr:col>
          <xdr:colOff>0</xdr:colOff>
          <xdr:row>9</xdr:row>
          <xdr:rowOff>0</xdr:rowOff>
        </xdr:to>
        <xdr:sp macro="" textlink="">
          <xdr:nvSpPr>
            <xdr:cNvPr id="19500" name="Check Box 1068" hidden="1">
              <a:extLst>
                <a:ext uri="{63B3BB69-23CF-44E3-9099-C40C66FF867C}">
                  <a14:compatExt spid="_x0000_s19500"/>
                </a:ext>
                <a:ext uri="{FF2B5EF4-FFF2-40B4-BE49-F238E27FC236}">
                  <a16:creationId xmlns:a16="http://schemas.microsoft.com/office/drawing/2014/main" id="{00000000-0008-0000-0300-00002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57150</xdr:rowOff>
        </xdr:from>
        <xdr:to>
          <xdr:col>4</xdr:col>
          <xdr:colOff>0</xdr:colOff>
          <xdr:row>9</xdr:row>
          <xdr:rowOff>0</xdr:rowOff>
        </xdr:to>
        <xdr:sp macro="" textlink="">
          <xdr:nvSpPr>
            <xdr:cNvPr id="19501" name="Check Box 1069" hidden="1">
              <a:extLst>
                <a:ext uri="{63B3BB69-23CF-44E3-9099-C40C66FF867C}">
                  <a14:compatExt spid="_x0000_s19501"/>
                </a:ext>
                <a:ext uri="{FF2B5EF4-FFF2-40B4-BE49-F238E27FC236}">
                  <a16:creationId xmlns:a16="http://schemas.microsoft.com/office/drawing/2014/main" id="{00000000-0008-0000-0300-00002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5</xdr:col>
      <xdr:colOff>200779</xdr:colOff>
      <xdr:row>1</xdr:row>
      <xdr:rowOff>199570</xdr:rowOff>
    </xdr:from>
    <xdr:to>
      <xdr:col>7</xdr:col>
      <xdr:colOff>394304</xdr:colOff>
      <xdr:row>4</xdr:row>
      <xdr:rowOff>114903</xdr:rowOff>
    </xdr:to>
    <xdr:pic>
      <xdr:nvPicPr>
        <xdr:cNvPr id="5" name="Picture 4" descr="GORS Logo Small">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350446" y="356808"/>
          <a:ext cx="2062239" cy="749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255396</xdr:colOff>
      <xdr:row>1</xdr:row>
      <xdr:rowOff>66989</xdr:rowOff>
    </xdr:from>
    <xdr:to>
      <xdr:col>8</xdr:col>
      <xdr:colOff>625510</xdr:colOff>
      <xdr:row>4</xdr:row>
      <xdr:rowOff>199293</xdr:rowOff>
    </xdr:to>
    <xdr:pic>
      <xdr:nvPicPr>
        <xdr:cNvPr id="3" name="Picture 2" descr="GORS Logo Small">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6435132" y="226088"/>
          <a:ext cx="1676400" cy="60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57150</xdr:rowOff>
        </xdr:from>
        <xdr:to>
          <xdr:col>4</xdr:col>
          <xdr:colOff>0</xdr:colOff>
          <xdr:row>10</xdr:row>
          <xdr:rowOff>19050</xdr:rowOff>
        </xdr:to>
        <xdr:sp macro="" textlink="">
          <xdr:nvSpPr>
            <xdr:cNvPr id="27649" name="Check Box 1" hidden="1">
              <a:extLst>
                <a:ext uri="{63B3BB69-23CF-44E3-9099-C40C66FF867C}">
                  <a14:compatExt spid="_x0000_s27649"/>
                </a:ext>
                <a:ext uri="{FF2B5EF4-FFF2-40B4-BE49-F238E27FC236}">
                  <a16:creationId xmlns:a16="http://schemas.microsoft.com/office/drawing/2014/main" id="{00000000-0008-0000-06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57150</xdr:rowOff>
        </xdr:from>
        <xdr:to>
          <xdr:col>4</xdr:col>
          <xdr:colOff>0</xdr:colOff>
          <xdr:row>10</xdr:row>
          <xdr:rowOff>19050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6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vmlDrawing" Target="../drawings/vmlDrawing1.vml"/><Relationship Id="rId21" Type="http://schemas.openxmlformats.org/officeDocument/2006/relationships/ctrlProp" Target="../ctrlProps/ctrlProp12.xml"/><Relationship Id="rId7" Type="http://schemas.openxmlformats.org/officeDocument/2006/relationships/image" Target="../media/image3.emf"/><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drawing" Target="../drawings/drawing3.xm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2.emf"/><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6.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0070C0"/>
    <pageSetUpPr fitToPage="1"/>
  </sheetPr>
  <dimension ref="A1:F56"/>
  <sheetViews>
    <sheetView showGridLines="0" workbookViewId="0">
      <selection activeCell="C10" sqref="C10"/>
    </sheetView>
  </sheetViews>
  <sheetFormatPr defaultColWidth="0" defaultRowHeight="15" zeroHeight="1"/>
  <cols>
    <col min="1" max="1" width="9.1328125" style="20" customWidth="1"/>
    <col min="2" max="2" width="17.3984375" style="20" customWidth="1"/>
    <col min="3" max="3" width="157.1328125" style="20" customWidth="1"/>
    <col min="4" max="4" width="12.86328125" style="20" customWidth="1"/>
    <col min="5" max="5" width="14.59765625" style="20" customWidth="1"/>
    <col min="6" max="6" width="9.1328125" style="20" customWidth="1"/>
    <col min="7" max="16384" width="9.1328125" style="20" hidden="1"/>
  </cols>
  <sheetData>
    <row r="1" spans="1:6" ht="3.75" customHeight="1">
      <c r="A1" s="79"/>
      <c r="B1" s="80"/>
      <c r="C1" s="80"/>
      <c r="D1" s="80"/>
      <c r="E1" s="80"/>
      <c r="F1" s="81"/>
    </row>
    <row r="2" spans="1:6" ht="18.75" customHeight="1">
      <c r="A2" s="82"/>
      <c r="B2" s="83"/>
      <c r="C2" s="84" t="s">
        <v>55</v>
      </c>
      <c r="D2" s="85"/>
      <c r="E2" s="85"/>
      <c r="F2" s="86"/>
    </row>
    <row r="3" spans="1:6">
      <c r="A3" s="82"/>
      <c r="B3" s="87" t="s">
        <v>54</v>
      </c>
      <c r="C3" s="88"/>
      <c r="D3" s="88"/>
      <c r="E3" t="s">
        <v>135</v>
      </c>
      <c r="F3" s="89"/>
    </row>
    <row r="4" spans="1:6" ht="41.65" customHeight="1">
      <c r="A4" s="82"/>
      <c r="B4" s="105" t="s">
        <v>149</v>
      </c>
      <c r="C4" s="105"/>
      <c r="D4" s="105"/>
      <c r="E4" s="88"/>
      <c r="F4" s="89"/>
    </row>
    <row r="5" spans="1:6" ht="11.65" customHeight="1">
      <c r="A5" s="82"/>
      <c r="B5" s="97"/>
      <c r="C5" s="97"/>
      <c r="D5" s="97"/>
      <c r="E5" s="88"/>
      <c r="F5" s="89"/>
    </row>
    <row r="6" spans="1:6">
      <c r="A6" s="82"/>
      <c r="B6" s="90" t="s">
        <v>56</v>
      </c>
      <c r="C6" s="88"/>
      <c r="D6" s="88"/>
      <c r="E6" s="88"/>
      <c r="F6" s="89"/>
    </row>
    <row r="7" spans="1:6" ht="28.35" customHeight="1">
      <c r="A7" s="82"/>
      <c r="B7" s="106" t="s">
        <v>81</v>
      </c>
      <c r="C7" s="102"/>
      <c r="D7" s="102"/>
      <c r="E7" s="88"/>
      <c r="F7" s="89"/>
    </row>
    <row r="8" spans="1:6" ht="38.65" customHeight="1">
      <c r="A8" s="82"/>
      <c r="B8" s="91"/>
      <c r="C8" s="92" t="s">
        <v>82</v>
      </c>
      <c r="D8" s="74"/>
      <c r="E8" s="88"/>
      <c r="F8" s="89"/>
    </row>
    <row r="9" spans="1:6" ht="15.4">
      <c r="A9" s="82"/>
      <c r="B9" s="91"/>
      <c r="C9" s="92" t="s">
        <v>57</v>
      </c>
      <c r="D9" s="74"/>
      <c r="E9" s="88"/>
      <c r="F9" s="89"/>
    </row>
    <row r="10" spans="1:6" ht="15.4">
      <c r="A10" s="82"/>
      <c r="B10" s="91"/>
      <c r="C10" s="92" t="s">
        <v>127</v>
      </c>
      <c r="D10" s="74"/>
      <c r="E10" s="88"/>
      <c r="F10" s="89"/>
    </row>
    <row r="11" spans="1:6" ht="10.35" customHeight="1">
      <c r="A11" s="82"/>
      <c r="B11" s="91"/>
      <c r="C11" s="92"/>
      <c r="D11" s="74"/>
      <c r="E11" s="88"/>
      <c r="F11" s="89"/>
    </row>
    <row r="12" spans="1:6" ht="15.4">
      <c r="A12" s="82"/>
      <c r="B12" s="93" t="s">
        <v>58</v>
      </c>
      <c r="C12" s="92"/>
      <c r="D12" s="74"/>
      <c r="E12" s="88"/>
      <c r="F12" s="89"/>
    </row>
    <row r="13" spans="1:6" ht="29.25" customHeight="1">
      <c r="A13" s="82"/>
      <c r="B13" s="107" t="s">
        <v>83</v>
      </c>
      <c r="C13" s="107"/>
      <c r="D13" s="107"/>
      <c r="E13" s="88"/>
      <c r="F13" s="89"/>
    </row>
    <row r="14" spans="1:6" ht="28.5" customHeight="1">
      <c r="A14" s="82"/>
      <c r="B14" s="94"/>
      <c r="C14" s="95" t="s">
        <v>141</v>
      </c>
      <c r="D14" s="94"/>
      <c r="E14" s="88"/>
      <c r="F14" s="89"/>
    </row>
    <row r="15" spans="1:6" ht="15.4">
      <c r="A15" s="82"/>
      <c r="B15" s="94"/>
      <c r="C15" s="95" t="s">
        <v>59</v>
      </c>
      <c r="D15" s="94"/>
      <c r="E15" s="88"/>
      <c r="F15" s="89"/>
    </row>
    <row r="16" spans="1:6" ht="30.75">
      <c r="A16" s="82"/>
      <c r="B16" s="94"/>
      <c r="C16" s="95" t="s">
        <v>142</v>
      </c>
      <c r="D16" s="94"/>
      <c r="E16" s="88"/>
      <c r="F16" s="89"/>
    </row>
    <row r="17" spans="1:6" ht="15.4">
      <c r="A17" s="82"/>
      <c r="B17" s="94"/>
      <c r="C17" s="95" t="s">
        <v>128</v>
      </c>
      <c r="D17" s="94"/>
      <c r="E17" s="88"/>
      <c r="F17" s="89"/>
    </row>
    <row r="18" spans="1:6" ht="15.4">
      <c r="A18" s="82"/>
      <c r="B18" s="94"/>
      <c r="C18" s="95" t="s">
        <v>129</v>
      </c>
      <c r="D18" s="94"/>
      <c r="E18" s="88"/>
      <c r="F18" s="89"/>
    </row>
    <row r="19" spans="1:6" ht="30" customHeight="1">
      <c r="A19" s="82"/>
      <c r="B19" s="103" t="s">
        <v>60</v>
      </c>
      <c r="C19" s="103"/>
      <c r="D19" s="103"/>
      <c r="E19" s="88"/>
      <c r="F19" s="89"/>
    </row>
    <row r="20" spans="1:6">
      <c r="A20" s="82"/>
      <c r="B20" s="93" t="s">
        <v>61</v>
      </c>
      <c r="C20" s="94"/>
      <c r="D20" s="94"/>
      <c r="E20" s="88"/>
      <c r="F20" s="89"/>
    </row>
    <row r="21" spans="1:6" ht="31.7" customHeight="1">
      <c r="A21" s="82"/>
      <c r="B21" s="104" t="s">
        <v>64</v>
      </c>
      <c r="C21" s="104"/>
      <c r="D21" s="104"/>
      <c r="E21" s="88"/>
      <c r="F21" s="89"/>
    </row>
    <row r="22" spans="1:6" ht="38.65" customHeight="1">
      <c r="A22" s="82"/>
      <c r="B22" s="91"/>
      <c r="C22" s="95" t="s">
        <v>130</v>
      </c>
      <c r="D22" s="91"/>
      <c r="E22" s="88"/>
      <c r="F22" s="89"/>
    </row>
    <row r="23" spans="1:6" ht="15.4">
      <c r="A23" s="82"/>
      <c r="B23" s="96"/>
      <c r="C23" s="95" t="s">
        <v>62</v>
      </c>
      <c r="D23" s="91"/>
      <c r="E23" s="88"/>
      <c r="F23" s="89"/>
    </row>
    <row r="24" spans="1:6" ht="30.75">
      <c r="A24" s="82"/>
      <c r="B24" s="91"/>
      <c r="C24" s="95" t="s">
        <v>143</v>
      </c>
      <c r="D24" s="91"/>
      <c r="E24" s="88"/>
      <c r="F24" s="89"/>
    </row>
    <row r="25" spans="1:6" ht="30.75">
      <c r="A25" s="82"/>
      <c r="B25" s="91"/>
      <c r="C25" s="95" t="s">
        <v>63</v>
      </c>
      <c r="D25" s="91"/>
      <c r="E25" s="88"/>
      <c r="F25" s="89"/>
    </row>
    <row r="26" spans="1:6" ht="30.75">
      <c r="A26" s="82"/>
      <c r="B26" s="91"/>
      <c r="C26" s="95" t="s">
        <v>134</v>
      </c>
      <c r="D26" s="91"/>
      <c r="E26" s="88"/>
      <c r="F26" s="89"/>
    </row>
    <row r="27" spans="1:6" ht="9" customHeight="1">
      <c r="A27" s="82"/>
      <c r="B27" s="101"/>
      <c r="C27" s="102"/>
      <c r="D27" s="102"/>
      <c r="E27" s="88"/>
      <c r="F27" s="89"/>
    </row>
    <row r="28" spans="1:6" hidden="1"/>
    <row r="29" spans="1:6" hidden="1"/>
    <row r="30" spans="1:6" hidden="1"/>
    <row r="31" spans="1:6" hidden="1"/>
    <row r="32" spans="1:6" hidden="1"/>
    <row r="33" hidden="1"/>
    <row r="34" hidden="1"/>
    <row r="35" hidden="1"/>
    <row r="36" hidden="1"/>
    <row r="37" hidden="1"/>
    <row r="38" hidden="1"/>
    <row r="39" hidden="1"/>
    <row r="40" hidden="1"/>
    <row r="41" hidden="1"/>
    <row r="42" hidden="1"/>
    <row r="43"/>
    <row r="44" hidden="1"/>
    <row r="45" hidden="1"/>
    <row r="46" hidden="1"/>
    <row r="47" hidden="1"/>
    <row r="48" hidden="1"/>
    <row r="49" hidden="1"/>
    <row r="50" hidden="1"/>
    <row r="51" hidden="1"/>
    <row r="52" hidden="1"/>
    <row r="53" hidden="1"/>
    <row r="54" hidden="1"/>
    <row r="55" hidden="1"/>
    <row r="56"/>
  </sheetData>
  <mergeCells count="6">
    <mergeCell ref="B27:D27"/>
    <mergeCell ref="B19:D19"/>
    <mergeCell ref="B21:D21"/>
    <mergeCell ref="B4:D4"/>
    <mergeCell ref="B7:D7"/>
    <mergeCell ref="B13:D13"/>
  </mergeCells>
  <pageMargins left="0.70866141732283472" right="0.70866141732283472" top="0.74803149606299213" bottom="0.74803149606299213" header="0.31496062992125984" footer="0.31496062992125984"/>
  <pageSetup paperSize="9" scale="6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pageSetUpPr fitToPage="1"/>
  </sheetPr>
  <dimension ref="A1:XFC68"/>
  <sheetViews>
    <sheetView showGridLines="0" topLeftCell="A8" zoomScale="75" zoomScaleNormal="100" workbookViewId="0">
      <selection activeCell="B52" sqref="B52"/>
    </sheetView>
  </sheetViews>
  <sheetFormatPr defaultColWidth="0" defaultRowHeight="15" zeroHeight="1"/>
  <cols>
    <col min="1" max="1" width="3.265625" style="20" customWidth="1"/>
    <col min="2" max="2" width="255.59765625" style="20" customWidth="1"/>
    <col min="3" max="3" width="8" style="20" customWidth="1"/>
    <col min="4" max="35" width="9.1328125" style="20" hidden="1" customWidth="1"/>
    <col min="36" max="16383" width="9.1328125" style="20" hidden="1"/>
    <col min="16384" max="16384" width="21.1328125" style="20" hidden="1" customWidth="1"/>
  </cols>
  <sheetData>
    <row r="1" spans="2:2" ht="6.75" customHeight="1"/>
    <row r="2" spans="2:2" ht="6.75" customHeight="1"/>
    <row r="3" spans="2:2" ht="6.75" customHeight="1"/>
    <row r="4" spans="2:2" ht="6.75" customHeight="1"/>
    <row r="5" spans="2:2" ht="17.649999999999999">
      <c r="B5" s="75" t="s">
        <v>66</v>
      </c>
    </row>
    <row r="6" spans="2:2">
      <c r="B6" s="74"/>
    </row>
    <row r="7" spans="2:2" ht="30">
      <c r="B7" s="74" t="s">
        <v>131</v>
      </c>
    </row>
    <row r="8" spans="2:2">
      <c r="B8" s="74" t="s">
        <v>144</v>
      </c>
    </row>
    <row r="9" spans="2:2">
      <c r="B9" s="74"/>
    </row>
    <row r="10" spans="2:2" ht="17.649999999999999">
      <c r="B10" s="75" t="s">
        <v>67</v>
      </c>
    </row>
    <row r="11" spans="2:2">
      <c r="B11" s="74"/>
    </row>
    <row r="12" spans="2:2">
      <c r="B12" s="74" t="s">
        <v>145</v>
      </c>
    </row>
    <row r="13" spans="2:2">
      <c r="B13" s="74"/>
    </row>
    <row r="14" spans="2:2">
      <c r="B14" s="76" t="s">
        <v>146</v>
      </c>
    </row>
    <row r="15" spans="2:2">
      <c r="B15" s="76" t="s">
        <v>93</v>
      </c>
    </row>
    <row r="16" spans="2:2">
      <c r="B16" s="76" t="s">
        <v>147</v>
      </c>
    </row>
    <row r="17" spans="2:2">
      <c r="B17" s="76" t="s">
        <v>94</v>
      </c>
    </row>
    <row r="18" spans="2:2">
      <c r="B18" s="76" t="s">
        <v>136</v>
      </c>
    </row>
    <row r="19" spans="2:2">
      <c r="B19" s="76" t="s">
        <v>100</v>
      </c>
    </row>
    <row r="20" spans="2:2">
      <c r="B20" s="74"/>
    </row>
    <row r="21" spans="2:2" ht="17.649999999999999">
      <c r="B21" s="75" t="s">
        <v>68</v>
      </c>
    </row>
    <row r="22" spans="2:2">
      <c r="B22" s="74"/>
    </row>
    <row r="23" spans="2:2" ht="30">
      <c r="B23" s="74" t="s">
        <v>148</v>
      </c>
    </row>
    <row r="24" spans="2:2">
      <c r="B24" s="74"/>
    </row>
    <row r="25" spans="2:2">
      <c r="B25" s="74" t="s">
        <v>69</v>
      </c>
    </row>
    <row r="26" spans="2:2">
      <c r="B26" s="76" t="s">
        <v>97</v>
      </c>
    </row>
    <row r="27" spans="2:2">
      <c r="B27" s="76" t="s">
        <v>98</v>
      </c>
    </row>
    <row r="28" spans="2:2">
      <c r="B28" s="76" t="s">
        <v>99</v>
      </c>
    </row>
    <row r="29" spans="2:2">
      <c r="B29" s="74" t="s">
        <v>70</v>
      </c>
    </row>
    <row r="30" spans="2:2">
      <c r="B30" s="74" t="s">
        <v>71</v>
      </c>
    </row>
    <row r="31" spans="2:2">
      <c r="B31" s="74" t="s">
        <v>72</v>
      </c>
    </row>
    <row r="32" spans="2:2">
      <c r="B32" s="74" t="s">
        <v>73</v>
      </c>
    </row>
    <row r="33" spans="2:3">
      <c r="B33" s="74" t="s">
        <v>74</v>
      </c>
    </row>
    <row r="34" spans="2:3">
      <c r="B34" s="76" t="s">
        <v>95</v>
      </c>
    </row>
    <row r="35" spans="2:3">
      <c r="B35" s="76" t="s">
        <v>96</v>
      </c>
    </row>
    <row r="36" spans="2:3">
      <c r="B36" s="74" t="s">
        <v>75</v>
      </c>
    </row>
    <row r="37" spans="2:3">
      <c r="B37" s="74" t="s">
        <v>76</v>
      </c>
    </row>
    <row r="38" spans="2:3">
      <c r="B38" s="74" t="s">
        <v>77</v>
      </c>
    </row>
    <row r="39" spans="2:3">
      <c r="B39" s="74"/>
    </row>
    <row r="40" spans="2:3" ht="17.649999999999999">
      <c r="B40" s="75" t="s">
        <v>78</v>
      </c>
    </row>
    <row r="41" spans="2:3">
      <c r="B41" s="74"/>
    </row>
    <row r="42" spans="2:3">
      <c r="B42" s="74" t="s">
        <v>132</v>
      </c>
      <c r="C42" s="19"/>
    </row>
    <row r="43" spans="2:3">
      <c r="B43" s="74" t="s">
        <v>133</v>
      </c>
    </row>
    <row r="44" spans="2:3">
      <c r="B44" s="74" t="s">
        <v>101</v>
      </c>
    </row>
    <row r="45" spans="2:3">
      <c r="B45" s="74" t="s">
        <v>79</v>
      </c>
    </row>
    <row r="46" spans="2:3">
      <c r="B46" s="74"/>
    </row>
    <row r="47" spans="2:3" ht="17.649999999999999">
      <c r="B47" s="75" t="s">
        <v>80</v>
      </c>
    </row>
    <row r="48" spans="2:3">
      <c r="B48" s="78"/>
    </row>
    <row r="49" spans="2:2">
      <c r="B49" s="74" t="s">
        <v>102</v>
      </c>
    </row>
    <row r="50" spans="2:2">
      <c r="B50" s="74" t="s">
        <v>103</v>
      </c>
    </row>
    <row r="51" spans="2:2">
      <c r="B51" s="76" t="s">
        <v>137</v>
      </c>
    </row>
    <row r="52" spans="2:2">
      <c r="B52" s="77" t="s">
        <v>140</v>
      </c>
    </row>
    <row r="53" spans="2:2">
      <c r="B53" s="74"/>
    </row>
    <row r="54" spans="2:2" hidden="1">
      <c r="B54" s="74"/>
    </row>
    <row r="55" spans="2:2" hidden="1"/>
    <row r="56" spans="2:2" hidden="1"/>
    <row r="57" spans="2:2" hidden="1"/>
    <row r="58" spans="2:2" hidden="1"/>
    <row r="59" spans="2:2" hidden="1"/>
    <row r="60" spans="2:2" hidden="1"/>
    <row r="61" spans="2:2" hidden="1"/>
    <row r="62" spans="2:2"/>
    <row r="63" spans="2:2"/>
    <row r="64" spans="2:2"/>
    <row r="65"/>
    <row r="66"/>
    <row r="67"/>
    <row r="68"/>
  </sheetData>
  <phoneticPr fontId="2" type="noConversion"/>
  <pageMargins left="0.35433070866141736" right="0.35433070866141736" top="0.59055118110236227" bottom="0.59055118110236227" header="0.51181102362204722" footer="0.51181102362204722"/>
  <pageSetup paperSize="9" scale="54"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F0"/>
    <pageSetUpPr fitToPage="1"/>
  </sheetPr>
  <dimension ref="B2:K23"/>
  <sheetViews>
    <sheetView topLeftCell="A10" zoomScale="85" zoomScaleNormal="85" workbookViewId="0">
      <selection activeCell="M8" sqref="M8"/>
    </sheetView>
  </sheetViews>
  <sheetFormatPr defaultColWidth="9.1328125" defaultRowHeight="12.75"/>
  <cols>
    <col min="1" max="1" width="9.265625" style="30" customWidth="1"/>
    <col min="2" max="2" width="22.59765625" style="30" customWidth="1"/>
    <col min="3" max="3" width="28.1328125" style="30" customWidth="1"/>
    <col min="4" max="4" width="24.73046875" style="30" customWidth="1"/>
    <col min="5" max="5" width="32.3984375" style="30" customWidth="1"/>
    <col min="6" max="6" width="9.59765625" style="30" customWidth="1"/>
    <col min="7" max="7" width="17.1328125" style="30" customWidth="1"/>
    <col min="8" max="8" width="40.265625" style="30" customWidth="1"/>
    <col min="9" max="9" width="39.3984375" style="30" customWidth="1"/>
    <col min="10" max="10" width="9.1328125" style="30"/>
    <col min="11" max="11" width="17.86328125" style="30" customWidth="1"/>
    <col min="12" max="13" width="9.1328125" style="30" customWidth="1"/>
    <col min="14" max="16384" width="9.1328125" style="30"/>
  </cols>
  <sheetData>
    <row r="2" spans="2:11" s="31" customFormat="1" ht="43.5" customHeight="1">
      <c r="B2" s="113" t="s">
        <v>114</v>
      </c>
      <c r="C2" s="113"/>
      <c r="D2" s="113"/>
      <c r="E2" s="113"/>
      <c r="F2" s="113"/>
      <c r="G2" s="113"/>
      <c r="H2" s="113"/>
    </row>
    <row r="3" spans="2:11" s="31" customFormat="1" ht="18.75" customHeight="1">
      <c r="B3" s="37"/>
      <c r="C3" s="37"/>
      <c r="D3" s="37"/>
      <c r="E3" s="37"/>
      <c r="F3" s="37"/>
      <c r="G3" s="37"/>
      <c r="H3" s="37"/>
    </row>
    <row r="4" spans="2:11" s="31" customFormat="1" ht="35.1" customHeight="1">
      <c r="B4" s="42" t="s">
        <v>29</v>
      </c>
      <c r="C4" s="114"/>
      <c r="D4" s="115"/>
      <c r="E4" s="116"/>
    </row>
    <row r="5" spans="2:11" s="31" customFormat="1" ht="35.1" customHeight="1">
      <c r="B5" s="38"/>
      <c r="C5" s="39"/>
      <c r="D5" s="39"/>
      <c r="E5" s="39"/>
    </row>
    <row r="6" spans="2:11" s="31" customFormat="1" ht="35.1" customHeight="1">
      <c r="B6" s="41" t="s">
        <v>33</v>
      </c>
      <c r="C6" s="41"/>
      <c r="D6" s="41"/>
      <c r="E6" s="40"/>
    </row>
    <row r="7" spans="2:11" s="32" customFormat="1" ht="35.1" customHeight="1">
      <c r="C7" s="63" t="s">
        <v>31</v>
      </c>
      <c r="D7" s="64" t="s">
        <v>32</v>
      </c>
      <c r="E7" s="64" t="s">
        <v>30</v>
      </c>
      <c r="F7" s="98" t="s">
        <v>138</v>
      </c>
    </row>
    <row r="8" spans="2:11" s="32" customFormat="1" ht="35.1" customHeight="1">
      <c r="C8" s="63"/>
      <c r="D8" s="64"/>
      <c r="E8" s="64"/>
      <c r="F8" s="98"/>
    </row>
    <row r="9" spans="2:11" s="32" customFormat="1" ht="35.1" customHeight="1">
      <c r="C9" s="63"/>
      <c r="D9" s="64"/>
      <c r="E9" s="64"/>
      <c r="F9" s="98"/>
    </row>
    <row r="10" spans="2:11" s="32" customFormat="1" ht="35.1" customHeight="1">
      <c r="C10" s="63"/>
      <c r="D10" s="64"/>
      <c r="E10" s="64"/>
      <c r="F10" s="98"/>
    </row>
    <row r="11" spans="2:11" s="32" customFormat="1" ht="35.1" customHeight="1">
      <c r="C11" s="63"/>
      <c r="D11" s="64"/>
      <c r="E11" s="64"/>
      <c r="F11" s="98"/>
    </row>
    <row r="12" spans="2:11" s="32" customFormat="1" ht="35.1" customHeight="1">
      <c r="C12" s="63"/>
      <c r="D12" s="64"/>
      <c r="E12" s="64"/>
      <c r="F12" s="98"/>
    </row>
    <row r="13" spans="2:11" ht="12" customHeight="1"/>
    <row r="14" spans="2:11" ht="35.1" customHeight="1">
      <c r="B14" s="62" t="s">
        <v>65</v>
      </c>
      <c r="C14" s="33"/>
      <c r="D14" s="33"/>
      <c r="E14" s="33"/>
      <c r="F14" s="49"/>
      <c r="G14" s="49"/>
      <c r="H14" s="49"/>
    </row>
    <row r="15" spans="2:11" ht="35.1" customHeight="1">
      <c r="B15" s="65"/>
      <c r="C15" s="66" t="s">
        <v>113</v>
      </c>
      <c r="D15" s="67"/>
      <c r="E15" s="67"/>
      <c r="F15" s="67"/>
      <c r="G15" s="68"/>
      <c r="H15" s="117" t="s">
        <v>34</v>
      </c>
      <c r="I15" s="117"/>
      <c r="J15" s="117"/>
      <c r="K15" s="117"/>
    </row>
    <row r="16" spans="2:11" ht="35.1" customHeight="1">
      <c r="B16" s="64" t="s">
        <v>13</v>
      </c>
      <c r="C16" s="111" t="s">
        <v>28</v>
      </c>
      <c r="D16" s="118"/>
      <c r="E16" s="112"/>
      <c r="F16" s="69" t="s">
        <v>48</v>
      </c>
      <c r="G16" s="70" t="s">
        <v>3</v>
      </c>
      <c r="H16" s="111" t="s">
        <v>28</v>
      </c>
      <c r="I16" s="112"/>
      <c r="J16" s="69" t="s">
        <v>48</v>
      </c>
      <c r="K16" s="70" t="s">
        <v>3</v>
      </c>
    </row>
    <row r="17" spans="2:11" ht="35.1" customHeight="1">
      <c r="B17" s="71" t="s">
        <v>115</v>
      </c>
      <c r="C17" s="108"/>
      <c r="D17" s="109"/>
      <c r="E17" s="110"/>
      <c r="F17" s="72"/>
      <c r="G17" s="73"/>
      <c r="H17" s="108"/>
      <c r="I17" s="110"/>
      <c r="J17" s="72"/>
      <c r="K17" s="73"/>
    </row>
    <row r="18" spans="2:11" ht="35.1" customHeight="1">
      <c r="B18" s="71"/>
      <c r="C18" s="108"/>
      <c r="D18" s="109"/>
      <c r="E18" s="110"/>
      <c r="F18" s="72"/>
      <c r="G18" s="73"/>
      <c r="H18" s="108"/>
      <c r="I18" s="110"/>
      <c r="J18" s="72"/>
      <c r="K18" s="73"/>
    </row>
    <row r="19" spans="2:11" ht="35.1" customHeight="1">
      <c r="B19" s="71"/>
      <c r="C19" s="108"/>
      <c r="D19" s="109"/>
      <c r="E19" s="110"/>
      <c r="F19" s="72"/>
      <c r="G19" s="73"/>
      <c r="H19" s="108"/>
      <c r="I19" s="110"/>
      <c r="J19" s="72"/>
      <c r="K19" s="73"/>
    </row>
    <row r="20" spans="2:11" ht="35.1" customHeight="1">
      <c r="B20" s="71"/>
      <c r="C20" s="108"/>
      <c r="D20" s="109"/>
      <c r="E20" s="110"/>
      <c r="F20" s="72"/>
      <c r="G20" s="73"/>
      <c r="H20" s="108"/>
      <c r="I20" s="110"/>
      <c r="J20" s="72"/>
      <c r="K20" s="73"/>
    </row>
    <row r="21" spans="2:11" ht="35.1" customHeight="1">
      <c r="B21" s="71"/>
      <c r="C21" s="108"/>
      <c r="D21" s="109"/>
      <c r="E21" s="110"/>
      <c r="F21" s="72"/>
      <c r="G21" s="73"/>
      <c r="H21" s="108"/>
      <c r="I21" s="110"/>
      <c r="J21" s="72"/>
      <c r="K21" s="73"/>
    </row>
    <row r="22" spans="2:11" ht="35.1" customHeight="1">
      <c r="B22" s="71"/>
      <c r="C22" s="108"/>
      <c r="D22" s="109"/>
      <c r="E22" s="110"/>
      <c r="F22" s="72"/>
      <c r="G22" s="73"/>
      <c r="H22" s="108"/>
      <c r="I22" s="110"/>
      <c r="J22" s="72"/>
      <c r="K22" s="73"/>
    </row>
    <row r="23" spans="2:11" ht="35.1" customHeight="1">
      <c r="B23" s="71"/>
      <c r="C23" s="108"/>
      <c r="D23" s="109"/>
      <c r="E23" s="110"/>
      <c r="F23" s="72"/>
      <c r="G23" s="73"/>
      <c r="H23" s="108"/>
      <c r="I23" s="110"/>
      <c r="J23" s="72"/>
      <c r="K23" s="73"/>
    </row>
  </sheetData>
  <mergeCells count="19">
    <mergeCell ref="H23:I23"/>
    <mergeCell ref="H18:I18"/>
    <mergeCell ref="H19:I19"/>
    <mergeCell ref="H20:I20"/>
    <mergeCell ref="H21:I21"/>
    <mergeCell ref="H22:I22"/>
    <mergeCell ref="C19:E19"/>
    <mergeCell ref="C20:E20"/>
    <mergeCell ref="C21:E21"/>
    <mergeCell ref="C22:E22"/>
    <mergeCell ref="C23:E23"/>
    <mergeCell ref="C17:E17"/>
    <mergeCell ref="C18:E18"/>
    <mergeCell ref="H16:I16"/>
    <mergeCell ref="H17:I17"/>
    <mergeCell ref="B2:H2"/>
    <mergeCell ref="C4:E4"/>
    <mergeCell ref="H15:K15"/>
    <mergeCell ref="C16:E16"/>
  </mergeCells>
  <pageMargins left="0.70866141732283472" right="0.70866141732283472" top="0.74803149606299213" bottom="0.74803149606299213" header="0.31496062992125984" footer="0.31496062992125984"/>
  <pageSetup paperSize="9" scale="53" orientation="landscape" r:id="rId1"/>
  <drawing r:id="rId2"/>
  <legacyDrawing r:id="rId3"/>
  <controls>
    <mc:AlternateContent xmlns:mc="http://schemas.openxmlformats.org/markup-compatibility/2006">
      <mc:Choice Requires="x14">
        <control shapeId="5139" r:id="rId4" name="CommandButton3">
          <controlPr defaultSize="0" autoLine="0" autoPict="0" r:id="rId5">
            <anchor>
              <from>
                <xdr:col>6</xdr:col>
                <xdr:colOff>1066800</xdr:colOff>
                <xdr:row>9</xdr:row>
                <xdr:rowOff>200025</xdr:rowOff>
              </from>
              <to>
                <xdr:col>8</xdr:col>
                <xdr:colOff>590550</xdr:colOff>
                <xdr:row>11</xdr:row>
                <xdr:rowOff>114300</xdr:rowOff>
              </to>
            </anchor>
          </controlPr>
        </control>
      </mc:Choice>
      <mc:Fallback>
        <control shapeId="5139" r:id="rId4" name="CommandButton3"/>
      </mc:Fallback>
    </mc:AlternateContent>
    <mc:AlternateContent xmlns:mc="http://schemas.openxmlformats.org/markup-compatibility/2006">
      <mc:Choice Requires="x14">
        <control shapeId="5128" r:id="rId6" name="CommandButton2">
          <controlPr defaultSize="0" autoLine="0" r:id="rId7">
            <anchor>
              <from>
                <xdr:col>6</xdr:col>
                <xdr:colOff>1057275</xdr:colOff>
                <xdr:row>5</xdr:row>
                <xdr:rowOff>190500</xdr:rowOff>
              </from>
              <to>
                <xdr:col>8</xdr:col>
                <xdr:colOff>542925</xdr:colOff>
                <xdr:row>7</xdr:row>
                <xdr:rowOff>85725</xdr:rowOff>
              </to>
            </anchor>
          </controlPr>
        </control>
      </mc:Choice>
      <mc:Fallback>
        <control shapeId="5128" r:id="rId6" name="CommandButton2"/>
      </mc:Fallback>
    </mc:AlternateContent>
    <mc:AlternateContent xmlns:mc="http://schemas.openxmlformats.org/markup-compatibility/2006">
      <mc:Choice Requires="x14">
        <control shapeId="5127" r:id="rId8" name="CommandButton1">
          <controlPr defaultSize="0" autoLine="0" autoPict="0" r:id="rId9">
            <anchor>
              <from>
                <xdr:col>6</xdr:col>
                <xdr:colOff>1066800</xdr:colOff>
                <xdr:row>7</xdr:row>
                <xdr:rowOff>200025</xdr:rowOff>
              </from>
              <to>
                <xdr:col>8</xdr:col>
                <xdr:colOff>581025</xdr:colOff>
                <xdr:row>9</xdr:row>
                <xdr:rowOff>95250</xdr:rowOff>
              </to>
            </anchor>
          </controlPr>
        </control>
      </mc:Choice>
      <mc:Fallback>
        <control shapeId="5127" r:id="rId8" name="CommandButton1"/>
      </mc:Fallback>
    </mc:AlternateContent>
    <mc:AlternateContent xmlns:mc="http://schemas.openxmlformats.org/markup-compatibility/2006">
      <mc:Choice Requires="x14">
        <control shapeId="5140" r:id="rId10" name="Check Box 20">
          <controlPr locked="0" defaultSize="0" autoFill="0" autoLine="0" autoPict="0" altText="">
            <anchor moveWithCells="1">
              <from>
                <xdr:col>9</xdr:col>
                <xdr:colOff>114300</xdr:colOff>
                <xdr:row>16</xdr:row>
                <xdr:rowOff>95250</xdr:rowOff>
              </from>
              <to>
                <xdr:col>10</xdr:col>
                <xdr:colOff>323850</xdr:colOff>
                <xdr:row>16</xdr:row>
                <xdr:rowOff>276225</xdr:rowOff>
              </to>
            </anchor>
          </controlPr>
        </control>
      </mc:Choice>
    </mc:AlternateContent>
    <mc:AlternateContent xmlns:mc="http://schemas.openxmlformats.org/markup-compatibility/2006">
      <mc:Choice Requires="x14">
        <control shapeId="5141" r:id="rId11" name="Check Box 21">
          <controlPr locked="0" defaultSize="0" autoFill="0" autoLine="0" autoPict="0" altText="">
            <anchor moveWithCells="1">
              <from>
                <xdr:col>9</xdr:col>
                <xdr:colOff>114300</xdr:colOff>
                <xdr:row>17</xdr:row>
                <xdr:rowOff>95250</xdr:rowOff>
              </from>
              <to>
                <xdr:col>10</xdr:col>
                <xdr:colOff>323850</xdr:colOff>
                <xdr:row>17</xdr:row>
                <xdr:rowOff>276225</xdr:rowOff>
              </to>
            </anchor>
          </controlPr>
        </control>
      </mc:Choice>
    </mc:AlternateContent>
    <mc:AlternateContent xmlns:mc="http://schemas.openxmlformats.org/markup-compatibility/2006">
      <mc:Choice Requires="x14">
        <control shapeId="5142" r:id="rId12" name="Check Box 22">
          <controlPr locked="0" defaultSize="0" autoFill="0" autoLine="0" autoPict="0" altText="">
            <anchor moveWithCells="1">
              <from>
                <xdr:col>9</xdr:col>
                <xdr:colOff>114300</xdr:colOff>
                <xdr:row>18</xdr:row>
                <xdr:rowOff>95250</xdr:rowOff>
              </from>
              <to>
                <xdr:col>10</xdr:col>
                <xdr:colOff>323850</xdr:colOff>
                <xdr:row>18</xdr:row>
                <xdr:rowOff>276225</xdr:rowOff>
              </to>
            </anchor>
          </controlPr>
        </control>
      </mc:Choice>
    </mc:AlternateContent>
    <mc:AlternateContent xmlns:mc="http://schemas.openxmlformats.org/markup-compatibility/2006">
      <mc:Choice Requires="x14">
        <control shapeId="5143" r:id="rId13" name="Check Box 23">
          <controlPr locked="0" defaultSize="0" autoFill="0" autoLine="0" autoPict="0" altText="">
            <anchor moveWithCells="1">
              <from>
                <xdr:col>9</xdr:col>
                <xdr:colOff>114300</xdr:colOff>
                <xdr:row>19</xdr:row>
                <xdr:rowOff>95250</xdr:rowOff>
              </from>
              <to>
                <xdr:col>10</xdr:col>
                <xdr:colOff>323850</xdr:colOff>
                <xdr:row>19</xdr:row>
                <xdr:rowOff>276225</xdr:rowOff>
              </to>
            </anchor>
          </controlPr>
        </control>
      </mc:Choice>
    </mc:AlternateContent>
    <mc:AlternateContent xmlns:mc="http://schemas.openxmlformats.org/markup-compatibility/2006">
      <mc:Choice Requires="x14">
        <control shapeId="5144" r:id="rId14" name="Check Box 24">
          <controlPr locked="0" defaultSize="0" autoFill="0" autoLine="0" autoPict="0" altText="">
            <anchor moveWithCells="1">
              <from>
                <xdr:col>9</xdr:col>
                <xdr:colOff>114300</xdr:colOff>
                <xdr:row>20</xdr:row>
                <xdr:rowOff>95250</xdr:rowOff>
              </from>
              <to>
                <xdr:col>10</xdr:col>
                <xdr:colOff>323850</xdr:colOff>
                <xdr:row>20</xdr:row>
                <xdr:rowOff>276225</xdr:rowOff>
              </to>
            </anchor>
          </controlPr>
        </control>
      </mc:Choice>
    </mc:AlternateContent>
    <mc:AlternateContent xmlns:mc="http://schemas.openxmlformats.org/markup-compatibility/2006">
      <mc:Choice Requires="x14">
        <control shapeId="5145" r:id="rId15" name="Check Box 25">
          <controlPr locked="0" defaultSize="0" autoFill="0" autoLine="0" autoPict="0" altText="">
            <anchor moveWithCells="1">
              <from>
                <xdr:col>9</xdr:col>
                <xdr:colOff>114300</xdr:colOff>
                <xdr:row>21</xdr:row>
                <xdr:rowOff>95250</xdr:rowOff>
              </from>
              <to>
                <xdr:col>10</xdr:col>
                <xdr:colOff>323850</xdr:colOff>
                <xdr:row>21</xdr:row>
                <xdr:rowOff>276225</xdr:rowOff>
              </to>
            </anchor>
          </controlPr>
        </control>
      </mc:Choice>
    </mc:AlternateContent>
    <mc:AlternateContent xmlns:mc="http://schemas.openxmlformats.org/markup-compatibility/2006">
      <mc:Choice Requires="x14">
        <control shapeId="5146" r:id="rId16" name="Check Box 26">
          <controlPr locked="0" defaultSize="0" autoFill="0" autoLine="0" autoPict="0" altText="">
            <anchor moveWithCells="1">
              <from>
                <xdr:col>9</xdr:col>
                <xdr:colOff>114300</xdr:colOff>
                <xdr:row>22</xdr:row>
                <xdr:rowOff>95250</xdr:rowOff>
              </from>
              <to>
                <xdr:col>10</xdr:col>
                <xdr:colOff>323850</xdr:colOff>
                <xdr:row>22</xdr:row>
                <xdr:rowOff>276225</xdr:rowOff>
              </to>
            </anchor>
          </controlPr>
        </control>
      </mc:Choice>
    </mc:AlternateContent>
    <mc:AlternateContent xmlns:mc="http://schemas.openxmlformats.org/markup-compatibility/2006">
      <mc:Choice Requires="x14">
        <control shapeId="5147" r:id="rId17" name="Check Box 27">
          <controlPr locked="0" defaultSize="0" autoFill="0" autoLine="0" autoPict="0" altText="">
            <anchor moveWithCells="1">
              <from>
                <xdr:col>5</xdr:col>
                <xdr:colOff>114300</xdr:colOff>
                <xdr:row>16</xdr:row>
                <xdr:rowOff>95250</xdr:rowOff>
              </from>
              <to>
                <xdr:col>6</xdr:col>
                <xdr:colOff>295275</xdr:colOff>
                <xdr:row>16</xdr:row>
                <xdr:rowOff>276225</xdr:rowOff>
              </to>
            </anchor>
          </controlPr>
        </control>
      </mc:Choice>
    </mc:AlternateContent>
    <mc:AlternateContent xmlns:mc="http://schemas.openxmlformats.org/markup-compatibility/2006">
      <mc:Choice Requires="x14">
        <control shapeId="5148" r:id="rId18" name="Check Box 28">
          <controlPr locked="0" defaultSize="0" autoFill="0" autoLine="0" autoPict="0" altText="">
            <anchor moveWithCells="1">
              <from>
                <xdr:col>5</xdr:col>
                <xdr:colOff>114300</xdr:colOff>
                <xdr:row>17</xdr:row>
                <xdr:rowOff>95250</xdr:rowOff>
              </from>
              <to>
                <xdr:col>6</xdr:col>
                <xdr:colOff>295275</xdr:colOff>
                <xdr:row>17</xdr:row>
                <xdr:rowOff>276225</xdr:rowOff>
              </to>
            </anchor>
          </controlPr>
        </control>
      </mc:Choice>
    </mc:AlternateContent>
    <mc:AlternateContent xmlns:mc="http://schemas.openxmlformats.org/markup-compatibility/2006">
      <mc:Choice Requires="x14">
        <control shapeId="5149" r:id="rId19" name="Check Box 29">
          <controlPr locked="0" defaultSize="0" autoFill="0" autoLine="0" autoPict="0" altText="">
            <anchor moveWithCells="1">
              <from>
                <xdr:col>5</xdr:col>
                <xdr:colOff>114300</xdr:colOff>
                <xdr:row>18</xdr:row>
                <xdr:rowOff>95250</xdr:rowOff>
              </from>
              <to>
                <xdr:col>6</xdr:col>
                <xdr:colOff>295275</xdr:colOff>
                <xdr:row>18</xdr:row>
                <xdr:rowOff>276225</xdr:rowOff>
              </to>
            </anchor>
          </controlPr>
        </control>
      </mc:Choice>
    </mc:AlternateContent>
    <mc:AlternateContent xmlns:mc="http://schemas.openxmlformats.org/markup-compatibility/2006">
      <mc:Choice Requires="x14">
        <control shapeId="5150" r:id="rId20" name="Check Box 30">
          <controlPr locked="0" defaultSize="0" autoFill="0" autoLine="0" autoPict="0" altText="">
            <anchor moveWithCells="1">
              <from>
                <xdr:col>5</xdr:col>
                <xdr:colOff>114300</xdr:colOff>
                <xdr:row>19</xdr:row>
                <xdr:rowOff>95250</xdr:rowOff>
              </from>
              <to>
                <xdr:col>6</xdr:col>
                <xdr:colOff>295275</xdr:colOff>
                <xdr:row>19</xdr:row>
                <xdr:rowOff>276225</xdr:rowOff>
              </to>
            </anchor>
          </controlPr>
        </control>
      </mc:Choice>
    </mc:AlternateContent>
    <mc:AlternateContent xmlns:mc="http://schemas.openxmlformats.org/markup-compatibility/2006">
      <mc:Choice Requires="x14">
        <control shapeId="5151" r:id="rId21" name="Check Box 31">
          <controlPr locked="0" defaultSize="0" autoFill="0" autoLine="0" autoPict="0" altText="">
            <anchor moveWithCells="1">
              <from>
                <xdr:col>5</xdr:col>
                <xdr:colOff>114300</xdr:colOff>
                <xdr:row>20</xdr:row>
                <xdr:rowOff>95250</xdr:rowOff>
              </from>
              <to>
                <xdr:col>6</xdr:col>
                <xdr:colOff>295275</xdr:colOff>
                <xdr:row>20</xdr:row>
                <xdr:rowOff>276225</xdr:rowOff>
              </to>
            </anchor>
          </controlPr>
        </control>
      </mc:Choice>
    </mc:AlternateContent>
    <mc:AlternateContent xmlns:mc="http://schemas.openxmlformats.org/markup-compatibility/2006">
      <mc:Choice Requires="x14">
        <control shapeId="5152" r:id="rId22" name="Check Box 32">
          <controlPr locked="0" defaultSize="0" autoFill="0" autoLine="0" autoPict="0" altText="">
            <anchor moveWithCells="1">
              <from>
                <xdr:col>5</xdr:col>
                <xdr:colOff>114300</xdr:colOff>
                <xdr:row>21</xdr:row>
                <xdr:rowOff>95250</xdr:rowOff>
              </from>
              <to>
                <xdr:col>6</xdr:col>
                <xdr:colOff>295275</xdr:colOff>
                <xdr:row>21</xdr:row>
                <xdr:rowOff>276225</xdr:rowOff>
              </to>
            </anchor>
          </controlPr>
        </control>
      </mc:Choice>
    </mc:AlternateContent>
    <mc:AlternateContent xmlns:mc="http://schemas.openxmlformats.org/markup-compatibility/2006">
      <mc:Choice Requires="x14">
        <control shapeId="5153" r:id="rId23" name="Check Box 33">
          <controlPr locked="0" defaultSize="0" autoFill="0" autoLine="0" autoPict="0" altText="">
            <anchor moveWithCells="1">
              <from>
                <xdr:col>5</xdr:col>
                <xdr:colOff>114300</xdr:colOff>
                <xdr:row>22</xdr:row>
                <xdr:rowOff>95250</xdr:rowOff>
              </from>
              <to>
                <xdr:col>6</xdr:col>
                <xdr:colOff>295275</xdr:colOff>
                <xdr:row>22</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F0"/>
    <pageSetUpPr fitToPage="1"/>
  </sheetPr>
  <dimension ref="A1:T43"/>
  <sheetViews>
    <sheetView showGridLines="0" tabSelected="1" zoomScale="90" zoomScaleNormal="90" workbookViewId="0">
      <pane ySplit="8" topLeftCell="A9" activePane="bottomLeft" state="frozen"/>
      <selection pane="bottomLeft" activeCell="F11" sqref="F11"/>
    </sheetView>
  </sheetViews>
  <sheetFormatPr defaultColWidth="0" defaultRowHeight="12.75"/>
  <cols>
    <col min="1" max="1" width="4" style="23" customWidth="1"/>
    <col min="2" max="2" width="34.1328125" style="23" customWidth="1"/>
    <col min="3" max="3" width="38.265625" style="23" customWidth="1"/>
    <col min="4" max="4" width="48.3984375" style="23" customWidth="1"/>
    <col min="5" max="5" width="48.265625" style="23" customWidth="1"/>
    <col min="6" max="6" width="13.73046875" style="100" customWidth="1"/>
    <col min="7" max="7" width="12.73046875" style="23" customWidth="1"/>
    <col min="8" max="8" width="9.1328125" style="23" customWidth="1"/>
    <col min="9" max="10" width="9.1328125" style="23" hidden="1" customWidth="1"/>
    <col min="11" max="20" width="0" style="23" hidden="1" customWidth="1"/>
    <col min="21" max="16384" width="9.1328125" style="23" hidden="1"/>
  </cols>
  <sheetData>
    <row r="1" spans="2:7">
      <c r="F1" s="23"/>
    </row>
    <row r="2" spans="2:7" ht="22.5">
      <c r="B2" s="119" t="s">
        <v>0</v>
      </c>
      <c r="C2" s="120"/>
      <c r="D2" s="120"/>
      <c r="E2" s="50" t="s">
        <v>115</v>
      </c>
      <c r="F2" s="23"/>
    </row>
    <row r="3" spans="2:7" ht="22.5">
      <c r="B3" s="44"/>
      <c r="C3" s="44"/>
      <c r="D3" s="46"/>
      <c r="E3" s="45"/>
      <c r="F3" s="23"/>
    </row>
    <row r="4" spans="2:7" ht="20.25" customHeight="1">
      <c r="B4" s="122" t="s">
        <v>36</v>
      </c>
      <c r="C4" s="21" t="s">
        <v>90</v>
      </c>
      <c r="D4" s="22" t="s">
        <v>14</v>
      </c>
      <c r="E4" s="54" t="s">
        <v>15</v>
      </c>
      <c r="F4" s="23"/>
    </row>
    <row r="5" spans="2:7" ht="20.25" customHeight="1">
      <c r="B5" s="122"/>
      <c r="C5" s="60">
        <f>SUMIF('2019-2020'!B:B,'Drop down list'!$C$2,'2019-2020'!G:G)</f>
        <v>0</v>
      </c>
      <c r="D5" s="61">
        <f>SUMIF('2019-2020'!B:B,'Drop down list'!$C$3,'2019-2020'!G:G)</f>
        <v>0</v>
      </c>
      <c r="E5" s="61">
        <f>C5+D5</f>
        <v>0</v>
      </c>
      <c r="F5" s="23"/>
    </row>
    <row r="6" spans="2:7" ht="21" customHeight="1">
      <c r="F6" s="26"/>
    </row>
    <row r="7" spans="2:7" ht="30" customHeight="1">
      <c r="B7" s="121" t="s">
        <v>52</v>
      </c>
      <c r="C7" s="121" t="s">
        <v>53</v>
      </c>
      <c r="D7" s="121" t="s">
        <v>116</v>
      </c>
      <c r="E7" s="121" t="s">
        <v>51</v>
      </c>
      <c r="F7" s="123" t="s">
        <v>1</v>
      </c>
      <c r="G7" s="121" t="s">
        <v>2</v>
      </c>
    </row>
    <row r="8" spans="2:7" s="24" customFormat="1" ht="99" customHeight="1">
      <c r="B8" s="121"/>
      <c r="C8" s="123"/>
      <c r="D8" s="121"/>
      <c r="E8" s="121"/>
      <c r="F8" s="123"/>
      <c r="G8" s="121"/>
    </row>
    <row r="9" spans="2:7" s="25" customFormat="1" ht="26.25" customHeight="1">
      <c r="B9" s="27" t="s">
        <v>91</v>
      </c>
      <c r="C9" s="34"/>
      <c r="D9" s="34"/>
      <c r="E9" s="35"/>
      <c r="F9" s="99"/>
      <c r="G9" s="36"/>
    </row>
    <row r="10" spans="2:7" s="25" customFormat="1" ht="24" customHeight="1">
      <c r="B10" s="27" t="s">
        <v>92</v>
      </c>
      <c r="C10" s="34" t="s">
        <v>150</v>
      </c>
      <c r="D10" s="34"/>
      <c r="E10" s="35"/>
      <c r="F10" s="99">
        <v>43586</v>
      </c>
      <c r="G10" s="36"/>
    </row>
    <row r="11" spans="2:7" s="25" customFormat="1" ht="24" customHeight="1">
      <c r="B11" s="27"/>
      <c r="C11" s="34"/>
      <c r="D11" s="34"/>
      <c r="E11" s="35"/>
      <c r="F11" s="99"/>
      <c r="G11" s="36"/>
    </row>
    <row r="12" spans="2:7" s="25" customFormat="1" ht="24.75" customHeight="1">
      <c r="B12" s="27"/>
      <c r="C12" s="34"/>
      <c r="D12" s="34"/>
      <c r="E12" s="35"/>
      <c r="F12" s="99"/>
      <c r="G12" s="36"/>
    </row>
    <row r="13" spans="2:7" s="25" customFormat="1" ht="27.75" customHeight="1">
      <c r="B13" s="27"/>
      <c r="C13" s="34"/>
      <c r="D13" s="34"/>
      <c r="E13" s="35"/>
      <c r="F13" s="99"/>
      <c r="G13" s="36"/>
    </row>
    <row r="14" spans="2:7" s="25" customFormat="1" ht="30" customHeight="1">
      <c r="B14" s="27"/>
      <c r="C14" s="34"/>
      <c r="D14" s="34"/>
      <c r="E14" s="35"/>
      <c r="F14" s="99"/>
      <c r="G14" s="36"/>
    </row>
    <row r="15" spans="2:7" s="25" customFormat="1" ht="28.5" customHeight="1">
      <c r="B15" s="27"/>
      <c r="C15" s="34"/>
      <c r="D15" s="34"/>
      <c r="E15" s="35"/>
      <c r="F15" s="99"/>
      <c r="G15" s="36"/>
    </row>
    <row r="16" spans="2:7" s="25" customFormat="1" ht="27.95" customHeight="1">
      <c r="B16" s="27"/>
      <c r="C16" s="34"/>
      <c r="D16" s="34"/>
      <c r="E16" s="35"/>
      <c r="F16" s="99"/>
      <c r="G16" s="36"/>
    </row>
    <row r="17" spans="2:7" s="25" customFormat="1" ht="27.95" customHeight="1">
      <c r="B17" s="27"/>
      <c r="C17" s="34"/>
      <c r="D17" s="34"/>
      <c r="E17" s="35"/>
      <c r="F17" s="99"/>
      <c r="G17" s="36"/>
    </row>
    <row r="18" spans="2:7" ht="27.95" customHeight="1">
      <c r="B18" s="27"/>
      <c r="C18" s="34"/>
      <c r="D18" s="34"/>
      <c r="E18" s="35"/>
      <c r="F18" s="99"/>
      <c r="G18" s="36"/>
    </row>
    <row r="19" spans="2:7" ht="27.95" customHeight="1">
      <c r="B19" s="27"/>
      <c r="C19" s="34"/>
      <c r="D19" s="34"/>
      <c r="E19" s="35"/>
      <c r="F19" s="99"/>
      <c r="G19" s="36"/>
    </row>
    <row r="20" spans="2:7" ht="27.95" customHeight="1">
      <c r="B20" s="27"/>
      <c r="C20" s="34"/>
      <c r="D20" s="34"/>
      <c r="E20" s="35"/>
      <c r="F20" s="99"/>
      <c r="G20" s="36"/>
    </row>
    <row r="21" spans="2:7" ht="27.95" customHeight="1">
      <c r="B21" s="27"/>
      <c r="C21" s="34"/>
      <c r="D21" s="34"/>
      <c r="E21" s="35"/>
      <c r="F21" s="99"/>
      <c r="G21" s="36"/>
    </row>
    <row r="22" spans="2:7" ht="27.95" customHeight="1">
      <c r="B22" s="27"/>
      <c r="C22" s="34"/>
      <c r="D22" s="34"/>
      <c r="E22" s="35"/>
      <c r="F22" s="99"/>
      <c r="G22" s="36"/>
    </row>
    <row r="23" spans="2:7" ht="27.95" customHeight="1">
      <c r="B23" s="27"/>
      <c r="C23" s="34"/>
      <c r="D23" s="34"/>
      <c r="E23" s="35"/>
      <c r="F23" s="99"/>
      <c r="G23" s="36"/>
    </row>
    <row r="24" spans="2:7" ht="27.95" customHeight="1">
      <c r="B24" s="27"/>
      <c r="C24" s="34"/>
      <c r="D24" s="34"/>
      <c r="E24" s="35"/>
      <c r="F24" s="99"/>
      <c r="G24" s="36"/>
    </row>
    <row r="25" spans="2:7" ht="27.95" customHeight="1">
      <c r="B25" s="27"/>
      <c r="C25" s="34"/>
      <c r="D25" s="34"/>
      <c r="E25" s="35"/>
      <c r="F25" s="99"/>
      <c r="G25" s="36"/>
    </row>
    <row r="26" spans="2:7" ht="27.95" customHeight="1">
      <c r="B26" s="27"/>
      <c r="C26" s="34"/>
      <c r="D26" s="34"/>
      <c r="E26" s="35"/>
      <c r="F26" s="99"/>
      <c r="G26" s="36"/>
    </row>
    <row r="27" spans="2:7" ht="27.95" customHeight="1">
      <c r="B27" s="27"/>
      <c r="C27" s="34"/>
      <c r="D27" s="34"/>
      <c r="E27" s="35"/>
      <c r="F27" s="99"/>
      <c r="G27" s="36"/>
    </row>
    <row r="28" spans="2:7" ht="27.95" customHeight="1">
      <c r="B28" s="27"/>
      <c r="C28" s="34"/>
      <c r="D28" s="34"/>
      <c r="E28" s="35"/>
      <c r="F28" s="99"/>
      <c r="G28" s="36"/>
    </row>
    <row r="29" spans="2:7" ht="27.95" customHeight="1">
      <c r="B29" s="27"/>
      <c r="C29" s="34"/>
      <c r="D29" s="34"/>
      <c r="E29" s="35"/>
      <c r="F29" s="99"/>
      <c r="G29" s="36"/>
    </row>
    <row r="30" spans="2:7" ht="27.95" customHeight="1">
      <c r="B30" s="27"/>
      <c r="C30" s="34"/>
      <c r="D30" s="34"/>
      <c r="E30" s="35"/>
      <c r="F30" s="99"/>
      <c r="G30" s="36"/>
    </row>
    <row r="31" spans="2:7" ht="27.95" customHeight="1">
      <c r="B31" s="27"/>
      <c r="C31" s="34"/>
      <c r="D31" s="34"/>
      <c r="E31" s="35"/>
      <c r="F31" s="99"/>
      <c r="G31" s="36"/>
    </row>
    <row r="32" spans="2:7" ht="27.95" customHeight="1">
      <c r="B32" s="27"/>
      <c r="C32" s="34"/>
      <c r="D32" s="34"/>
      <c r="E32" s="35"/>
      <c r="F32" s="99"/>
      <c r="G32" s="36"/>
    </row>
    <row r="33" spans="2:7" ht="27.95" customHeight="1">
      <c r="B33" s="27"/>
      <c r="C33" s="34"/>
      <c r="D33" s="34"/>
      <c r="E33" s="35"/>
      <c r="F33" s="99"/>
      <c r="G33" s="36"/>
    </row>
    <row r="34" spans="2:7" ht="27.95" customHeight="1">
      <c r="B34" s="27"/>
      <c r="C34" s="34"/>
      <c r="D34" s="34"/>
      <c r="E34" s="35"/>
      <c r="F34" s="99"/>
      <c r="G34" s="36"/>
    </row>
    <row r="35" spans="2:7" ht="27.95" customHeight="1">
      <c r="B35" s="27"/>
      <c r="C35" s="34"/>
      <c r="D35" s="34"/>
      <c r="E35" s="35"/>
      <c r="F35" s="99"/>
      <c r="G35" s="36"/>
    </row>
    <row r="36" spans="2:7" ht="27.95" customHeight="1">
      <c r="B36" s="27"/>
      <c r="C36" s="34"/>
      <c r="D36" s="34"/>
      <c r="E36" s="35"/>
      <c r="F36" s="99"/>
      <c r="G36" s="36"/>
    </row>
    <row r="37" spans="2:7" ht="27.95" customHeight="1">
      <c r="B37" s="27"/>
      <c r="C37" s="34"/>
      <c r="D37" s="34"/>
      <c r="E37" s="35"/>
      <c r="F37" s="99"/>
      <c r="G37" s="36"/>
    </row>
    <row r="38" spans="2:7" ht="27.95" customHeight="1">
      <c r="B38" s="27"/>
      <c r="C38" s="34"/>
      <c r="D38" s="34"/>
      <c r="E38" s="35"/>
      <c r="F38" s="99"/>
      <c r="G38" s="36"/>
    </row>
    <row r="39" spans="2:7" ht="27.95" customHeight="1">
      <c r="B39" s="27"/>
      <c r="C39" s="34"/>
      <c r="D39" s="34"/>
      <c r="E39" s="35"/>
      <c r="F39" s="99"/>
      <c r="G39" s="36"/>
    </row>
    <row r="40" spans="2:7" ht="27.95" customHeight="1">
      <c r="B40" s="27"/>
      <c r="C40" s="34"/>
      <c r="D40" s="34"/>
      <c r="E40" s="35"/>
      <c r="F40" s="99"/>
      <c r="G40" s="36"/>
    </row>
    <row r="41" spans="2:7" ht="27.95" customHeight="1">
      <c r="B41" s="27"/>
      <c r="C41" s="34"/>
      <c r="D41" s="34"/>
      <c r="E41" s="35"/>
      <c r="F41" s="99"/>
      <c r="G41" s="36"/>
    </row>
    <row r="42" spans="2:7" ht="27.95" customHeight="1">
      <c r="B42" s="27"/>
      <c r="C42" s="34"/>
      <c r="D42" s="34"/>
      <c r="E42" s="35"/>
      <c r="F42" s="99"/>
      <c r="G42" s="36"/>
    </row>
    <row r="43" spans="2:7" ht="27.95" customHeight="1">
      <c r="B43" s="27"/>
      <c r="C43" s="34"/>
      <c r="D43" s="34"/>
      <c r="E43" s="35"/>
      <c r="F43" s="99"/>
      <c r="G43" s="36"/>
    </row>
  </sheetData>
  <mergeCells count="8">
    <mergeCell ref="B2:D2"/>
    <mergeCell ref="E7:E8"/>
    <mergeCell ref="B4:B5"/>
    <mergeCell ref="F7:F8"/>
    <mergeCell ref="G7:G8"/>
    <mergeCell ref="B7:B8"/>
    <mergeCell ref="C7:C8"/>
    <mergeCell ref="D7:D8"/>
  </mergeCells>
  <phoneticPr fontId="2" type="noConversion"/>
  <dataValidations count="3">
    <dataValidation type="list" allowBlank="1" showInputMessage="1" showErrorMessage="1" sqref="E9:E43" xr:uid="{00000000-0002-0000-0200-000000000000}">
      <formula1>ActivityType</formula1>
    </dataValidation>
    <dataValidation type="list" allowBlank="1" showInputMessage="1" showErrorMessage="1" sqref="B9:B43" xr:uid="{00000000-0002-0000-0200-000001000000}">
      <formula1>SkillType</formula1>
    </dataValidation>
    <dataValidation type="list" allowBlank="1" showInputMessage="1" showErrorMessage="1" sqref="D12:D43" xr:uid="{00000000-0002-0000-0200-000002000000}">
      <formula1>IF(B12="Stats",INDIRECT("StatsComp"),INDIRECT("_PSG2"))</formula1>
    </dataValidation>
  </dataValidations>
  <pageMargins left="0.47244094488188981" right="0.39370078740157483" top="0.47244094488188981" bottom="0.51181102362204722" header="0.51181102362204722" footer="0.51181102362204722"/>
  <pageSetup paperSize="9" scale="3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500" r:id="rId4" name="Check Box 1068">
              <controlPr defaultSize="0" autoFill="0" autoLine="0" autoPict="0" altText="">
                <anchor moveWithCells="1">
                  <from>
                    <xdr:col>4</xdr:col>
                    <xdr:colOff>0</xdr:colOff>
                    <xdr:row>8</xdr:row>
                    <xdr:rowOff>57150</xdr:rowOff>
                  </from>
                  <to>
                    <xdr:col>4</xdr:col>
                    <xdr:colOff>0</xdr:colOff>
                    <xdr:row>9</xdr:row>
                    <xdr:rowOff>0</xdr:rowOff>
                  </to>
                </anchor>
              </controlPr>
            </control>
          </mc:Choice>
        </mc:AlternateContent>
        <mc:AlternateContent xmlns:mc="http://schemas.openxmlformats.org/markup-compatibility/2006">
          <mc:Choice Requires="x14">
            <control shapeId="19501" r:id="rId5" name="Check Box 1069">
              <controlPr defaultSize="0" autoFill="0" autoLine="0" autoPict="0" altText="">
                <anchor moveWithCells="1">
                  <from>
                    <xdr:col>4</xdr:col>
                    <xdr:colOff>0</xdr:colOff>
                    <xdr:row>8</xdr:row>
                    <xdr:rowOff>57150</xdr:rowOff>
                  </from>
                  <to>
                    <xdr:col>4</xdr:col>
                    <xdr:colOff>0</xdr:colOff>
                    <xdr:row>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C95007F-7457-44B6-8CD3-C8712CAA67C1}">
          <x14:formula1>
            <xm:f>IF(B9='Drop down list'!$C$2,INDIRECT("StatsComp"),INDIRECT("_PSG2"))</xm:f>
          </x14:formula1>
          <xm:sqref>D9:D11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F0"/>
    <pageSetUpPr fitToPage="1"/>
  </sheetPr>
  <dimension ref="B3:F32"/>
  <sheetViews>
    <sheetView showGridLines="0" topLeftCell="A4" zoomScale="130" zoomScaleNormal="130" workbookViewId="0">
      <selection activeCell="H13" sqref="H13"/>
    </sheetView>
  </sheetViews>
  <sheetFormatPr defaultRowHeight="12.75"/>
  <cols>
    <col min="1" max="1" width="4.73046875" customWidth="1"/>
    <col min="2" max="2" width="16.1328125" customWidth="1"/>
    <col min="3" max="3" width="14.1328125" customWidth="1"/>
    <col min="4" max="4" width="16.265625" customWidth="1"/>
    <col min="5" max="5" width="13" customWidth="1"/>
    <col min="6" max="6" width="23" customWidth="1"/>
  </cols>
  <sheetData>
    <row r="3" spans="2:6" ht="13.15">
      <c r="B3" s="48" t="s">
        <v>47</v>
      </c>
    </row>
    <row r="5" spans="2:6" ht="20.100000000000001" customHeight="1">
      <c r="B5" s="124" t="s">
        <v>12</v>
      </c>
      <c r="C5" s="125"/>
      <c r="D5" s="125"/>
      <c r="E5" s="125"/>
      <c r="F5" s="126"/>
    </row>
    <row r="6" spans="2:6" ht="15" customHeight="1">
      <c r="B6" s="21" t="s">
        <v>13</v>
      </c>
      <c r="C6" s="21" t="s">
        <v>90</v>
      </c>
      <c r="D6" s="22" t="s">
        <v>14</v>
      </c>
      <c r="E6" s="22" t="s">
        <v>15</v>
      </c>
      <c r="F6" s="22" t="s">
        <v>104</v>
      </c>
    </row>
    <row r="7" spans="2:6" ht="15" customHeight="1">
      <c r="B7" s="18" t="s">
        <v>37</v>
      </c>
      <c r="C7" s="59">
        <v>0</v>
      </c>
      <c r="D7" s="59">
        <v>0</v>
      </c>
      <c r="E7" s="9">
        <f>C7+D7</f>
        <v>0</v>
      </c>
      <c r="F7" s="57"/>
    </row>
    <row r="8" spans="2:6" ht="15" customHeight="1">
      <c r="B8" s="18" t="s">
        <v>38</v>
      </c>
      <c r="C8" s="58">
        <f t="shared" ref="C8:C16" ca="1" si="0">IFERROR(INDIRECT("'"&amp;B8&amp;"'!"&amp;"c5"),0)</f>
        <v>0</v>
      </c>
      <c r="D8" s="58">
        <f t="shared" ref="D8:D16" ca="1" si="1">IFERROR(INDIRECT("'"&amp;B8&amp;"'!"&amp;"d5"),0)</f>
        <v>0</v>
      </c>
      <c r="E8" s="9">
        <f t="shared" ref="E8:E16" ca="1" si="2">C8+D8</f>
        <v>0</v>
      </c>
      <c r="F8" s="57"/>
    </row>
    <row r="9" spans="2:6" ht="15" customHeight="1">
      <c r="B9" s="18" t="s">
        <v>39</v>
      </c>
      <c r="C9" s="58">
        <f t="shared" ca="1" si="0"/>
        <v>0</v>
      </c>
      <c r="D9" s="58">
        <f t="shared" ca="1" si="1"/>
        <v>0</v>
      </c>
      <c r="E9" s="9">
        <f t="shared" ca="1" si="2"/>
        <v>0</v>
      </c>
      <c r="F9" s="57"/>
    </row>
    <row r="10" spans="2:6" ht="15" customHeight="1">
      <c r="B10" s="18" t="s">
        <v>40</v>
      </c>
      <c r="C10" s="58">
        <f t="shared" ca="1" si="0"/>
        <v>0</v>
      </c>
      <c r="D10" s="58">
        <f t="shared" ca="1" si="1"/>
        <v>0</v>
      </c>
      <c r="E10" s="9">
        <f t="shared" ca="1" si="2"/>
        <v>0</v>
      </c>
      <c r="F10" s="57"/>
    </row>
    <row r="11" spans="2:6" ht="15" customHeight="1">
      <c r="B11" s="18" t="s">
        <v>41</v>
      </c>
      <c r="C11" s="47">
        <f t="shared" ca="1" si="0"/>
        <v>0</v>
      </c>
      <c r="D11" s="47">
        <f t="shared" ca="1" si="1"/>
        <v>0</v>
      </c>
      <c r="E11" s="9">
        <f t="shared" ca="1" si="2"/>
        <v>0</v>
      </c>
      <c r="F11" s="9">
        <f ca="1">AVERAGE(C7:C11)</f>
        <v>0</v>
      </c>
    </row>
    <row r="12" spans="2:6" ht="15" customHeight="1">
      <c r="B12" s="18" t="s">
        <v>42</v>
      </c>
      <c r="C12" s="47">
        <f t="shared" ca="1" si="0"/>
        <v>0</v>
      </c>
      <c r="D12" s="47">
        <f t="shared" ca="1" si="1"/>
        <v>0</v>
      </c>
      <c r="E12" s="9">
        <f t="shared" ca="1" si="2"/>
        <v>0</v>
      </c>
      <c r="F12" s="9">
        <f t="shared" ref="F12:F16" ca="1" si="3">AVERAGE(C8:C12)</f>
        <v>0</v>
      </c>
    </row>
    <row r="13" spans="2:6" ht="15" customHeight="1">
      <c r="B13" s="18" t="s">
        <v>43</v>
      </c>
      <c r="C13" s="47">
        <f t="shared" ca="1" si="0"/>
        <v>0</v>
      </c>
      <c r="D13" s="47">
        <f t="shared" ca="1" si="1"/>
        <v>0</v>
      </c>
      <c r="E13" s="9">
        <f t="shared" ca="1" si="2"/>
        <v>0</v>
      </c>
      <c r="F13" s="9">
        <f t="shared" ca="1" si="3"/>
        <v>0</v>
      </c>
    </row>
    <row r="14" spans="2:6" ht="15" customHeight="1">
      <c r="B14" s="18" t="s">
        <v>44</v>
      </c>
      <c r="C14" s="47">
        <f t="shared" ca="1" si="0"/>
        <v>0</v>
      </c>
      <c r="D14" s="47">
        <f t="shared" ca="1" si="1"/>
        <v>0</v>
      </c>
      <c r="E14" s="9">
        <f t="shared" ca="1" si="2"/>
        <v>0</v>
      </c>
      <c r="F14" s="9">
        <f t="shared" ca="1" si="3"/>
        <v>0</v>
      </c>
    </row>
    <row r="15" spans="2:6" ht="15" customHeight="1">
      <c r="B15" s="18" t="s">
        <v>45</v>
      </c>
      <c r="C15" s="47">
        <f t="shared" ca="1" si="0"/>
        <v>0</v>
      </c>
      <c r="D15" s="47">
        <f t="shared" ca="1" si="1"/>
        <v>0</v>
      </c>
      <c r="E15" s="9">
        <f t="shared" ca="1" si="2"/>
        <v>0</v>
      </c>
      <c r="F15" s="9">
        <f t="shared" ca="1" si="3"/>
        <v>0</v>
      </c>
    </row>
    <row r="16" spans="2:6" ht="15" customHeight="1">
      <c r="B16" s="18" t="s">
        <v>46</v>
      </c>
      <c r="C16" s="47">
        <f t="shared" ca="1" si="0"/>
        <v>0</v>
      </c>
      <c r="D16" s="47">
        <f t="shared" ca="1" si="1"/>
        <v>0</v>
      </c>
      <c r="E16" s="9">
        <f t="shared" ca="1" si="2"/>
        <v>0</v>
      </c>
      <c r="F16" s="9">
        <f t="shared" ca="1" si="3"/>
        <v>0</v>
      </c>
    </row>
    <row r="17" spans="2:6" ht="15" customHeight="1">
      <c r="B17" s="18" t="s">
        <v>106</v>
      </c>
      <c r="C17" s="47">
        <f t="shared" ref="C17:C21" ca="1" si="4">IFERROR(INDIRECT("'"&amp;B17&amp;"'!"&amp;"c5"),0)</f>
        <v>0</v>
      </c>
      <c r="D17" s="47">
        <f t="shared" ref="D17:D21" ca="1" si="5">IFERROR(INDIRECT("'"&amp;B17&amp;"'!"&amp;"d5"),0)</f>
        <v>0</v>
      </c>
      <c r="E17" s="55">
        <f t="shared" ref="E17:E21" ca="1" si="6">C17+D17</f>
        <v>0</v>
      </c>
      <c r="F17" s="55">
        <f t="shared" ref="F17:F21" ca="1" si="7">AVERAGE(C13:C17)</f>
        <v>0</v>
      </c>
    </row>
    <row r="18" spans="2:6" ht="15" customHeight="1">
      <c r="B18" s="18" t="s">
        <v>107</v>
      </c>
      <c r="C18" s="47">
        <f t="shared" ca="1" si="4"/>
        <v>0</v>
      </c>
      <c r="D18" s="47">
        <f t="shared" ca="1" si="5"/>
        <v>0</v>
      </c>
      <c r="E18" s="55">
        <f t="shared" ca="1" si="6"/>
        <v>0</v>
      </c>
      <c r="F18" s="55">
        <f t="shared" ca="1" si="7"/>
        <v>0</v>
      </c>
    </row>
    <row r="19" spans="2:6" ht="15" customHeight="1">
      <c r="B19" s="18" t="s">
        <v>108</v>
      </c>
      <c r="C19" s="47">
        <f t="shared" ca="1" si="4"/>
        <v>0</v>
      </c>
      <c r="D19" s="47">
        <f t="shared" ca="1" si="5"/>
        <v>0</v>
      </c>
      <c r="E19" s="55">
        <f t="shared" ca="1" si="6"/>
        <v>0</v>
      </c>
      <c r="F19" s="55">
        <f t="shared" ca="1" si="7"/>
        <v>0</v>
      </c>
    </row>
    <row r="20" spans="2:6" ht="15" customHeight="1">
      <c r="B20" s="18" t="s">
        <v>109</v>
      </c>
      <c r="C20" s="47">
        <f t="shared" ca="1" si="4"/>
        <v>0</v>
      </c>
      <c r="D20" s="47">
        <f t="shared" ca="1" si="5"/>
        <v>0</v>
      </c>
      <c r="E20" s="55">
        <f t="shared" ca="1" si="6"/>
        <v>0</v>
      </c>
      <c r="F20" s="55">
        <f t="shared" ca="1" si="7"/>
        <v>0</v>
      </c>
    </row>
    <row r="21" spans="2:6" ht="15" customHeight="1">
      <c r="B21" s="18" t="s">
        <v>110</v>
      </c>
      <c r="C21" s="47">
        <f t="shared" ca="1" si="4"/>
        <v>0</v>
      </c>
      <c r="D21" s="47">
        <f t="shared" ca="1" si="5"/>
        <v>0</v>
      </c>
      <c r="E21" s="55">
        <f t="shared" ca="1" si="6"/>
        <v>0</v>
      </c>
      <c r="F21" s="55">
        <f t="shared" ca="1" si="7"/>
        <v>0</v>
      </c>
    </row>
    <row r="32" spans="2:6" ht="15" customHeight="1"/>
  </sheetData>
  <mergeCells count="1">
    <mergeCell ref="B5:F5"/>
  </mergeCells>
  <phoneticPr fontId="2" type="noConversion"/>
  <pageMargins left="0.43307086614173229" right="0.74803149606299213" top="0.98425196850393704" bottom="0.98425196850393704" header="0.51181102362204722" footer="0.51181102362204722"/>
  <pageSetup paperSize="9" orientation="landscape" r:id="rId1"/>
  <headerFooter alignWithMargins="0"/>
  <ignoredErrors>
    <ignoredError sqref="F12:F16" formulaRange="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FF00"/>
  </sheetPr>
  <dimension ref="A1:E34"/>
  <sheetViews>
    <sheetView workbookViewId="0">
      <selection activeCell="C28" sqref="C28"/>
    </sheetView>
  </sheetViews>
  <sheetFormatPr defaultRowHeight="12.75"/>
  <cols>
    <col min="1" max="1" width="55.265625" bestFit="1" customWidth="1"/>
    <col min="2" max="2" width="5.1328125" customWidth="1"/>
    <col min="3" max="3" width="50" customWidth="1"/>
    <col min="4" max="4" width="5.86328125" customWidth="1"/>
    <col min="5" max="5" width="113.59765625" bestFit="1" customWidth="1"/>
    <col min="6" max="6" width="5" customWidth="1"/>
  </cols>
  <sheetData>
    <row r="1" spans="1:5" ht="14.65" thickBot="1">
      <c r="A1" s="3" t="s">
        <v>84</v>
      </c>
      <c r="C1" s="3" t="s">
        <v>27</v>
      </c>
      <c r="E1" s="6" t="s">
        <v>4</v>
      </c>
    </row>
    <row r="2" spans="1:5" ht="14.25">
      <c r="A2" s="2" t="s">
        <v>87</v>
      </c>
      <c r="C2" s="28" t="s">
        <v>91</v>
      </c>
      <c r="E2" s="7" t="s">
        <v>86</v>
      </c>
    </row>
    <row r="3" spans="1:5" ht="14.65" thickBot="1">
      <c r="A3" s="1" t="s">
        <v>88</v>
      </c>
      <c r="C3" s="29" t="s">
        <v>92</v>
      </c>
      <c r="E3" s="56" t="s">
        <v>111</v>
      </c>
    </row>
    <row r="4" spans="1:5" ht="14.25">
      <c r="A4" s="1" t="s">
        <v>89</v>
      </c>
      <c r="C4" s="17"/>
      <c r="E4" s="56" t="s">
        <v>112</v>
      </c>
    </row>
    <row r="5" spans="1:5" ht="14.25">
      <c r="C5" s="17"/>
      <c r="E5" s="4" t="s">
        <v>9</v>
      </c>
    </row>
    <row r="6" spans="1:5" ht="14.25">
      <c r="C6" s="17"/>
      <c r="E6" s="4" t="s">
        <v>5</v>
      </c>
    </row>
    <row r="7" spans="1:5" ht="14.25">
      <c r="C7" s="17"/>
      <c r="E7" s="4" t="s">
        <v>10</v>
      </c>
    </row>
    <row r="8" spans="1:5" ht="14.65" thickBot="1">
      <c r="C8" s="17"/>
      <c r="E8" s="4" t="s">
        <v>6</v>
      </c>
    </row>
    <row r="9" spans="1:5" ht="14.25">
      <c r="A9" s="10" t="s">
        <v>18</v>
      </c>
      <c r="C9" s="17"/>
      <c r="E9" s="4" t="s">
        <v>11</v>
      </c>
    </row>
    <row r="10" spans="1:5" ht="14.25">
      <c r="A10" s="15" t="s">
        <v>19</v>
      </c>
      <c r="C10" s="17"/>
      <c r="E10" s="8" t="s">
        <v>50</v>
      </c>
    </row>
    <row r="11" spans="1:5" ht="14.25">
      <c r="A11" s="15" t="s">
        <v>20</v>
      </c>
      <c r="C11" s="17"/>
      <c r="E11" s="8" t="s">
        <v>85</v>
      </c>
    </row>
    <row r="12" spans="1:5" ht="14.65" thickBot="1">
      <c r="A12" s="15" t="s">
        <v>21</v>
      </c>
      <c r="E12" s="8" t="s">
        <v>17</v>
      </c>
    </row>
    <row r="13" spans="1:5" ht="14.65" thickBot="1">
      <c r="A13" s="16" t="s">
        <v>22</v>
      </c>
      <c r="C13" s="10" t="s">
        <v>122</v>
      </c>
      <c r="E13" s="8" t="s">
        <v>49</v>
      </c>
    </row>
    <row r="14" spans="1:5" ht="14.65" thickBot="1">
      <c r="C14" s="11" t="s">
        <v>117</v>
      </c>
      <c r="E14" s="8" t="s">
        <v>8</v>
      </c>
    </row>
    <row r="15" spans="1:5" ht="14.25">
      <c r="A15" s="10" t="s">
        <v>26</v>
      </c>
      <c r="C15" s="11" t="s">
        <v>118</v>
      </c>
      <c r="E15" s="8" t="s">
        <v>105</v>
      </c>
    </row>
    <row r="16" spans="1:5" ht="14.25">
      <c r="A16" s="15" t="s">
        <v>19</v>
      </c>
      <c r="C16" s="11" t="s">
        <v>119</v>
      </c>
      <c r="E16" s="4" t="s">
        <v>16</v>
      </c>
    </row>
    <row r="17" spans="1:5" ht="14.65" thickBot="1">
      <c r="A17" s="15" t="s">
        <v>20</v>
      </c>
      <c r="C17" s="11" t="s">
        <v>23</v>
      </c>
      <c r="E17" s="5" t="s">
        <v>7</v>
      </c>
    </row>
    <row r="18" spans="1:5">
      <c r="A18" s="15" t="s">
        <v>21</v>
      </c>
      <c r="C18" s="11" t="s">
        <v>120</v>
      </c>
    </row>
    <row r="19" spans="1:5">
      <c r="A19" s="15" t="s">
        <v>22</v>
      </c>
      <c r="C19" s="12" t="s">
        <v>121</v>
      </c>
    </row>
    <row r="20" spans="1:5">
      <c r="A20" s="15" t="s">
        <v>24</v>
      </c>
      <c r="C20" s="11" t="s">
        <v>123</v>
      </c>
    </row>
    <row r="21" spans="1:5" ht="14.65" thickBot="1">
      <c r="A21" s="16" t="s">
        <v>25</v>
      </c>
      <c r="C21" s="11" t="s">
        <v>124</v>
      </c>
      <c r="E21" s="51"/>
    </row>
    <row r="22" spans="1:5" ht="14.25">
      <c r="C22" s="11" t="s">
        <v>125</v>
      </c>
      <c r="E22" s="52"/>
    </row>
    <row r="23" spans="1:5" ht="14.65" thickBot="1">
      <c r="C23" s="13" t="s">
        <v>126</v>
      </c>
      <c r="E23" s="52"/>
    </row>
    <row r="24" spans="1:5" ht="14.25">
      <c r="E24" s="52"/>
    </row>
    <row r="25" spans="1:5" ht="14.25">
      <c r="E25" s="52"/>
    </row>
    <row r="26" spans="1:5">
      <c r="A26" s="30">
        <f>MAX(A27:A33)+1</f>
        <v>2020</v>
      </c>
      <c r="C26" s="14" t="s">
        <v>35</v>
      </c>
    </row>
    <row r="27" spans="1:5" ht="22.5">
      <c r="A27" s="30">
        <f>IF('Front page'!B17="", 0,VALUE(LEFT('Front page'!B17,4)))</f>
        <v>2019</v>
      </c>
      <c r="B27" s="30">
        <f>A26+1</f>
        <v>2021</v>
      </c>
      <c r="C27" s="43" t="s">
        <v>139</v>
      </c>
    </row>
    <row r="28" spans="1:5">
      <c r="A28" s="30">
        <f>IF('Front page'!B18="", 0,VALUE(LEFT('Front page'!B18,4)))</f>
        <v>0</v>
      </c>
      <c r="B28" s="30"/>
      <c r="C28" s="30" t="s">
        <v>139</v>
      </c>
    </row>
    <row r="29" spans="1:5">
      <c r="A29" s="30">
        <f>IF('Front page'!B19="", 0,VALUE(LEFT('Front page'!B19,4)))</f>
        <v>0</v>
      </c>
      <c r="B29" s="30"/>
      <c r="C29" s="30"/>
    </row>
    <row r="30" spans="1:5">
      <c r="A30" s="30">
        <f>IF('Front page'!B20="", 0,VALUE(LEFT('Front page'!B20,4)))</f>
        <v>0</v>
      </c>
      <c r="B30" s="30"/>
      <c r="C30" s="30"/>
    </row>
    <row r="31" spans="1:5">
      <c r="A31" s="30">
        <f>IF('Front page'!B21="", 0,VALUE(LEFT('Front page'!B21,4)))</f>
        <v>0</v>
      </c>
      <c r="B31" s="30"/>
      <c r="C31" s="30"/>
    </row>
    <row r="32" spans="1:5">
      <c r="A32" s="30">
        <f>IF('Front page'!B22="", 0,VALUE(LEFT('Front page'!B22,4)))</f>
        <v>0</v>
      </c>
      <c r="B32" s="30"/>
      <c r="C32" s="30"/>
    </row>
    <row r="33" spans="1:3">
      <c r="A33" s="30">
        <f>IF('Front page'!B23="", 0,VALUE(LEFT('Front page'!B23,4)))</f>
        <v>0</v>
      </c>
      <c r="B33" s="30"/>
      <c r="C33" s="30"/>
    </row>
    <row r="34" spans="1:3">
      <c r="B34" s="30"/>
      <c r="C34" s="30"/>
    </row>
  </sheetData>
  <phoneticPr fontId="2"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0A63F-3453-41B6-8F17-5200E87D26F8}">
  <sheetPr codeName="Sheet10"/>
  <dimension ref="A2:T43"/>
  <sheetViews>
    <sheetView workbookViewId="0">
      <pane ySplit="8" topLeftCell="A9" activePane="bottomLeft" state="frozen"/>
      <selection pane="bottomLeft" activeCell="E9" sqref="E9:I50"/>
    </sheetView>
  </sheetViews>
  <sheetFormatPr defaultColWidth="0" defaultRowHeight="12.75"/>
  <cols>
    <col min="1" max="1" width="4" style="23" customWidth="1"/>
    <col min="2" max="2" width="32.73046875" style="23" bestFit="1" customWidth="1"/>
    <col min="3" max="3" width="38.265625" style="23" customWidth="1"/>
    <col min="4" max="4" width="48.3984375" style="23" customWidth="1"/>
    <col min="5" max="5" width="48.265625" style="23" customWidth="1"/>
    <col min="6" max="6" width="13.73046875" style="23" customWidth="1"/>
    <col min="7" max="7" width="12.73046875" style="23" customWidth="1"/>
    <col min="8" max="8" width="9.1328125" style="23" customWidth="1"/>
    <col min="9" max="10" width="9.1328125" style="23" hidden="1" customWidth="1"/>
    <col min="11" max="20" width="0" style="23" hidden="1" customWidth="1"/>
    <col min="21" max="16384" width="9.1328125" style="23" hidden="1"/>
  </cols>
  <sheetData>
    <row r="2" spans="2:7" ht="22.5">
      <c r="B2" s="119" t="s">
        <v>0</v>
      </c>
      <c r="C2" s="120"/>
      <c r="D2" s="120"/>
      <c r="E2" s="50" t="str">
        <f>'Drop down list'!C27</f>
        <v>2020-2021</v>
      </c>
    </row>
    <row r="3" spans="2:7" ht="22.5">
      <c r="B3" s="44"/>
      <c r="C3" s="44"/>
      <c r="D3" s="46"/>
      <c r="E3" s="45"/>
    </row>
    <row r="4" spans="2:7" ht="20.25" customHeight="1">
      <c r="B4" s="122" t="s">
        <v>36</v>
      </c>
      <c r="C4" s="21" t="s">
        <v>90</v>
      </c>
      <c r="D4" s="54" t="s">
        <v>14</v>
      </c>
      <c r="E4" s="54" t="s">
        <v>15</v>
      </c>
    </row>
    <row r="5" spans="2:7" ht="20.25" customHeight="1">
      <c r="B5" s="122"/>
      <c r="C5" s="60">
        <f>SUMIF(B:B,'Drop down list'!$C$2,G:G)</f>
        <v>0</v>
      </c>
      <c r="D5" s="61">
        <f>SUMIF(B:B,'Drop down list'!$C$3,G:G)</f>
        <v>0</v>
      </c>
      <c r="E5" s="61">
        <f>C5+D5</f>
        <v>0</v>
      </c>
    </row>
    <row r="6" spans="2:7" ht="21" customHeight="1">
      <c r="F6" s="26"/>
    </row>
    <row r="7" spans="2:7" ht="30" customHeight="1">
      <c r="B7" s="121" t="s">
        <v>52</v>
      </c>
      <c r="C7" s="121" t="s">
        <v>53</v>
      </c>
      <c r="D7" s="121" t="s">
        <v>116</v>
      </c>
      <c r="E7" s="121" t="s">
        <v>51</v>
      </c>
      <c r="F7" s="123" t="s">
        <v>1</v>
      </c>
      <c r="G7" s="121" t="s">
        <v>2</v>
      </c>
    </row>
    <row r="8" spans="2:7" s="24" customFormat="1" ht="99" customHeight="1">
      <c r="B8" s="121"/>
      <c r="C8" s="123"/>
      <c r="D8" s="121"/>
      <c r="E8" s="121"/>
      <c r="F8" s="123"/>
      <c r="G8" s="121"/>
    </row>
    <row r="9" spans="2:7" s="25" customFormat="1" ht="26.25" customHeight="1">
      <c r="B9" s="27"/>
      <c r="C9" s="34"/>
      <c r="D9" s="34"/>
      <c r="E9" s="35"/>
      <c r="F9" s="53"/>
      <c r="G9" s="36"/>
    </row>
    <row r="10" spans="2:7" s="25" customFormat="1" ht="24" customHeight="1">
      <c r="B10" s="27"/>
      <c r="C10" s="34"/>
      <c r="D10" s="34"/>
      <c r="E10" s="35"/>
      <c r="F10" s="53"/>
      <c r="G10" s="36"/>
    </row>
    <row r="11" spans="2:7" s="25" customFormat="1" ht="24" customHeight="1">
      <c r="B11" s="27"/>
      <c r="C11" s="34"/>
      <c r="D11" s="34"/>
      <c r="E11" s="35"/>
      <c r="F11" s="53"/>
      <c r="G11" s="36"/>
    </row>
    <row r="12" spans="2:7" s="25" customFormat="1" ht="24.75" customHeight="1">
      <c r="B12" s="27"/>
      <c r="C12" s="34"/>
      <c r="D12" s="34"/>
      <c r="E12" s="35"/>
      <c r="F12" s="53"/>
      <c r="G12" s="36"/>
    </row>
    <row r="13" spans="2:7" s="25" customFormat="1" ht="27.75" customHeight="1">
      <c r="B13" s="27"/>
      <c r="C13" s="34"/>
      <c r="D13" s="34"/>
      <c r="E13" s="35"/>
      <c r="F13" s="53"/>
      <c r="G13" s="36"/>
    </row>
    <row r="14" spans="2:7" s="25" customFormat="1" ht="30" customHeight="1">
      <c r="B14" s="27"/>
      <c r="C14" s="34"/>
      <c r="D14" s="34"/>
      <c r="E14" s="35"/>
      <c r="F14" s="53"/>
      <c r="G14" s="36"/>
    </row>
    <row r="15" spans="2:7" s="25" customFormat="1" ht="28.5" customHeight="1">
      <c r="B15" s="27"/>
      <c r="C15" s="34"/>
      <c r="D15" s="34"/>
      <c r="E15" s="35"/>
      <c r="F15" s="53"/>
      <c r="G15" s="36"/>
    </row>
    <row r="16" spans="2:7" s="25" customFormat="1" ht="27.95" customHeight="1">
      <c r="B16" s="27"/>
      <c r="C16" s="34"/>
      <c r="D16" s="34"/>
      <c r="E16" s="35"/>
      <c r="F16" s="53"/>
      <c r="G16" s="36"/>
    </row>
    <row r="17" spans="2:7" s="25" customFormat="1" ht="27.95" customHeight="1">
      <c r="B17" s="27"/>
      <c r="C17" s="34"/>
      <c r="D17" s="34"/>
      <c r="E17" s="35"/>
      <c r="F17" s="53"/>
      <c r="G17" s="36"/>
    </row>
    <row r="18" spans="2:7" ht="27.95" customHeight="1">
      <c r="B18" s="27"/>
      <c r="C18" s="34"/>
      <c r="D18" s="34"/>
      <c r="E18" s="35"/>
      <c r="F18" s="53"/>
      <c r="G18" s="36"/>
    </row>
    <row r="19" spans="2:7" ht="27.95" customHeight="1">
      <c r="B19" s="27"/>
      <c r="C19" s="34"/>
      <c r="D19" s="34"/>
      <c r="E19" s="35"/>
      <c r="F19" s="53"/>
      <c r="G19" s="36"/>
    </row>
    <row r="20" spans="2:7" ht="27.95" customHeight="1">
      <c r="B20" s="27"/>
      <c r="C20" s="34"/>
      <c r="D20" s="34"/>
      <c r="E20" s="35"/>
      <c r="F20" s="53"/>
      <c r="G20" s="36"/>
    </row>
    <row r="21" spans="2:7" ht="27.95" customHeight="1">
      <c r="B21" s="27"/>
      <c r="C21" s="34"/>
      <c r="D21" s="34"/>
      <c r="E21" s="35"/>
      <c r="F21" s="53"/>
      <c r="G21" s="36"/>
    </row>
    <row r="22" spans="2:7" ht="27.95" customHeight="1">
      <c r="B22" s="27"/>
      <c r="C22" s="34"/>
      <c r="D22" s="34"/>
      <c r="E22" s="35"/>
      <c r="F22" s="53"/>
      <c r="G22" s="36"/>
    </row>
    <row r="23" spans="2:7" ht="27.95" customHeight="1">
      <c r="B23" s="27"/>
      <c r="C23" s="34"/>
      <c r="D23" s="34"/>
      <c r="E23" s="35"/>
      <c r="F23" s="53"/>
      <c r="G23" s="36"/>
    </row>
    <row r="24" spans="2:7" ht="27.95" customHeight="1">
      <c r="B24" s="27"/>
      <c r="C24" s="34"/>
      <c r="D24" s="34"/>
      <c r="E24" s="35"/>
      <c r="F24" s="53"/>
      <c r="G24" s="36"/>
    </row>
    <row r="25" spans="2:7" ht="27.95" customHeight="1">
      <c r="B25" s="27"/>
      <c r="C25" s="34"/>
      <c r="D25" s="34"/>
      <c r="E25" s="35"/>
      <c r="F25" s="53"/>
      <c r="G25" s="36"/>
    </row>
    <row r="26" spans="2:7" ht="27.95" customHeight="1">
      <c r="B26" s="27"/>
      <c r="C26" s="34"/>
      <c r="D26" s="34"/>
      <c r="E26" s="35"/>
      <c r="F26" s="53"/>
      <c r="G26" s="36"/>
    </row>
    <row r="27" spans="2:7" ht="27.95" customHeight="1">
      <c r="B27" s="27"/>
      <c r="C27" s="34"/>
      <c r="D27" s="34"/>
      <c r="E27" s="35"/>
      <c r="F27" s="53"/>
      <c r="G27" s="36"/>
    </row>
    <row r="28" spans="2:7" ht="27.95" customHeight="1">
      <c r="B28" s="27"/>
      <c r="C28" s="34"/>
      <c r="D28" s="34"/>
      <c r="E28" s="35"/>
      <c r="F28" s="53"/>
      <c r="G28" s="36"/>
    </row>
    <row r="29" spans="2:7" ht="27.95" customHeight="1">
      <c r="B29" s="27"/>
      <c r="C29" s="34"/>
      <c r="D29" s="34"/>
      <c r="E29" s="35"/>
      <c r="F29" s="53"/>
      <c r="G29" s="36"/>
    </row>
    <row r="30" spans="2:7" ht="27.95" customHeight="1">
      <c r="B30" s="27"/>
      <c r="C30" s="34"/>
      <c r="D30" s="34"/>
      <c r="E30" s="35"/>
      <c r="F30" s="53"/>
      <c r="G30" s="36"/>
    </row>
    <row r="31" spans="2:7" ht="27.95" customHeight="1">
      <c r="B31" s="27"/>
      <c r="C31" s="34"/>
      <c r="D31" s="34"/>
      <c r="E31" s="35"/>
      <c r="F31" s="53"/>
      <c r="G31" s="36"/>
    </row>
    <row r="32" spans="2:7" ht="27.95" customHeight="1">
      <c r="B32" s="27"/>
      <c r="C32" s="34"/>
      <c r="D32" s="34"/>
      <c r="E32" s="35"/>
      <c r="F32" s="53"/>
      <c r="G32" s="36"/>
    </row>
    <row r="33" spans="2:7" ht="27.95" customHeight="1">
      <c r="B33" s="27"/>
      <c r="C33" s="34"/>
      <c r="D33" s="34"/>
      <c r="E33" s="35"/>
      <c r="F33" s="53"/>
      <c r="G33" s="36"/>
    </row>
    <row r="34" spans="2:7" ht="27.95" customHeight="1">
      <c r="B34" s="27"/>
      <c r="C34" s="34"/>
      <c r="D34" s="34"/>
      <c r="E34" s="35"/>
      <c r="F34" s="53"/>
      <c r="G34" s="36"/>
    </row>
    <row r="35" spans="2:7" ht="27.95" customHeight="1">
      <c r="B35" s="27"/>
      <c r="C35" s="34"/>
      <c r="D35" s="34"/>
      <c r="E35" s="35"/>
      <c r="F35" s="53"/>
      <c r="G35" s="36"/>
    </row>
    <row r="36" spans="2:7" ht="27.95" customHeight="1">
      <c r="B36" s="27"/>
      <c r="C36" s="34"/>
      <c r="D36" s="34"/>
      <c r="E36" s="35"/>
      <c r="F36" s="53"/>
      <c r="G36" s="36"/>
    </row>
    <row r="37" spans="2:7" ht="27.95" customHeight="1">
      <c r="B37" s="27"/>
      <c r="C37" s="34"/>
      <c r="D37" s="34"/>
      <c r="E37" s="35"/>
      <c r="F37" s="53"/>
      <c r="G37" s="36"/>
    </row>
    <row r="38" spans="2:7" ht="27.95" customHeight="1">
      <c r="B38" s="27"/>
      <c r="C38" s="34"/>
      <c r="D38" s="34"/>
      <c r="E38" s="35"/>
      <c r="F38" s="53"/>
      <c r="G38" s="36"/>
    </row>
    <row r="39" spans="2:7" ht="27.95" customHeight="1">
      <c r="B39" s="27"/>
      <c r="C39" s="34"/>
      <c r="D39" s="34"/>
      <c r="E39" s="35"/>
      <c r="F39" s="53"/>
      <c r="G39" s="36"/>
    </row>
    <row r="40" spans="2:7" ht="27.95" customHeight="1">
      <c r="B40" s="27"/>
      <c r="C40" s="34"/>
      <c r="D40" s="34"/>
      <c r="E40" s="35"/>
      <c r="F40" s="53"/>
      <c r="G40" s="36"/>
    </row>
    <row r="41" spans="2:7" ht="27.95" customHeight="1">
      <c r="B41" s="27"/>
      <c r="C41" s="34"/>
      <c r="D41" s="34"/>
      <c r="E41" s="35"/>
      <c r="F41" s="53"/>
      <c r="G41" s="36"/>
    </row>
    <row r="42" spans="2:7" ht="27.95" customHeight="1">
      <c r="B42" s="27"/>
      <c r="C42" s="34"/>
      <c r="D42" s="34"/>
      <c r="E42" s="35"/>
      <c r="F42" s="53"/>
      <c r="G42" s="36"/>
    </row>
    <row r="43" spans="2:7" ht="27.95" customHeight="1">
      <c r="B43" s="27"/>
      <c r="C43" s="34"/>
      <c r="D43" s="34"/>
      <c r="E43" s="35"/>
      <c r="F43" s="53"/>
      <c r="G43" s="36"/>
    </row>
  </sheetData>
  <mergeCells count="8">
    <mergeCell ref="F7:F8"/>
    <mergeCell ref="G7:G8"/>
    <mergeCell ref="B2:D2"/>
    <mergeCell ref="B4:B5"/>
    <mergeCell ref="B7:B8"/>
    <mergeCell ref="C7:C8"/>
    <mergeCell ref="D7:D8"/>
    <mergeCell ref="E7:E8"/>
  </mergeCells>
  <dataValidations count="3">
    <dataValidation type="list" allowBlank="1" showInputMessage="1" showErrorMessage="1" sqref="D12:D43" xr:uid="{87DDEE2F-9ACE-4C67-9F3E-9F98E467B731}">
      <formula1>IF(B12="Stats",INDIRECT("StatsComp"),INDIRECT("_PSG2"))</formula1>
    </dataValidation>
    <dataValidation type="list" allowBlank="1" showInputMessage="1" showErrorMessage="1" sqref="B9:B43" xr:uid="{7412BD12-EA8E-443B-872D-4EA0D2D1FF4C}">
      <formula1>SkillType</formula1>
    </dataValidation>
    <dataValidation type="list" allowBlank="1" showInputMessage="1" showErrorMessage="1" sqref="E9:E43" xr:uid="{8B489618-A01E-41ED-B2D9-26F442079943}">
      <formula1>ActivityType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Check Box 1">
              <controlPr defaultSize="0" autoFill="0" autoLine="0" autoPict="0" altText="">
                <anchor moveWithCells="1">
                  <from>
                    <xdr:col>4</xdr:col>
                    <xdr:colOff>0</xdr:colOff>
                    <xdr:row>8</xdr:row>
                    <xdr:rowOff>57150</xdr:rowOff>
                  </from>
                  <to>
                    <xdr:col>4</xdr:col>
                    <xdr:colOff>0</xdr:colOff>
                    <xdr:row>10</xdr:row>
                    <xdr:rowOff>19050</xdr:rowOff>
                  </to>
                </anchor>
              </controlPr>
            </control>
          </mc:Choice>
        </mc:AlternateContent>
        <mc:AlternateContent xmlns:mc="http://schemas.openxmlformats.org/markup-compatibility/2006">
          <mc:Choice Requires="x14">
            <control shapeId="27650" r:id="rId4" name="Check Box 2">
              <controlPr defaultSize="0" autoFill="0" autoLine="0" autoPict="0" altText="">
                <anchor moveWithCells="1">
                  <from>
                    <xdr:col>4</xdr:col>
                    <xdr:colOff>0</xdr:colOff>
                    <xdr:row>8</xdr:row>
                    <xdr:rowOff>57150</xdr:rowOff>
                  </from>
                  <to>
                    <xdr:col>4</xdr:col>
                    <xdr:colOff>0</xdr:colOff>
                    <xdr:row>10</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CA0469D-B468-4883-83EC-4514F7E4E537}">
          <x14:formula1>
            <xm:f>IF(B9='Drop down list'!$C$2,INDIRECT("StatsComp"),INDIRECT("_PSG2"))</xm:f>
          </x14:formula1>
          <xm:sqref>D9:D11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E54337CFEC904DB186EF2210540C9A" ma:contentTypeVersion="12" ma:contentTypeDescription="Create a new document." ma:contentTypeScope="" ma:versionID="f1956e15a294df65750eff8a09596795">
  <xsd:schema xmlns:xsd="http://www.w3.org/2001/XMLSchema" xmlns:xs="http://www.w3.org/2001/XMLSchema" xmlns:p="http://schemas.microsoft.com/office/2006/metadata/properties" xmlns:ns2="ad312983-9933-4586-87ae-0dd55f2c5b7f" xmlns:ns3="17d1197e-4deb-4718-b2f6-a4117e8a9ecd" targetNamespace="http://schemas.microsoft.com/office/2006/metadata/properties" ma:root="true" ma:fieldsID="f916f9e35b4b6ef538bec1414a5d6159" ns2:_="" ns3:_="">
    <xsd:import namespace="ad312983-9933-4586-87ae-0dd55f2c5b7f"/>
    <xsd:import namespace="17d1197e-4deb-4718-b2f6-a4117e8a9ecd"/>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Tags"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312983-9933-4586-87ae-0dd55f2c5b7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7d1197e-4deb-4718-b2f6-a4117e8a9ecd"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ad312983-9933-4586-87ae-0dd55f2c5b7f">2CYMDDFJX5CA-1263910581-430</_dlc_DocId>
    <_dlc_DocIdUrl xmlns="ad312983-9933-4586-87ae-0dd55f2c5b7f">
      <Url>https://educationgovuk.sharepoint.com/sites/sarpi/g/_layouts/15/DocIdRedir.aspx?ID=2CYMDDFJX5CA-1263910581-430</Url>
      <Description>2CYMDDFJX5CA-1263910581-430</Description>
    </_dlc_DocIdUrl>
  </documentManagement>
</p:properties>
</file>

<file path=customXml/itemProps1.xml><?xml version="1.0" encoding="utf-8"?>
<ds:datastoreItem xmlns:ds="http://schemas.openxmlformats.org/officeDocument/2006/customXml" ds:itemID="{B7D4291B-A72D-4093-BE16-813F1265D3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312983-9933-4586-87ae-0dd55f2c5b7f"/>
    <ds:schemaRef ds:uri="17d1197e-4deb-4718-b2f6-a4117e8a9e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980D30-0D32-48B4-9AB2-EF1552284ABE}">
  <ds:schemaRefs>
    <ds:schemaRef ds:uri="http://schemas.microsoft.com/sharepoint/events"/>
  </ds:schemaRefs>
</ds:datastoreItem>
</file>

<file path=customXml/itemProps3.xml><?xml version="1.0" encoding="utf-8"?>
<ds:datastoreItem xmlns:ds="http://schemas.openxmlformats.org/officeDocument/2006/customXml" ds:itemID="{9B69CE40-F960-4E01-A1DF-86CF1362862E}">
  <ds:schemaRefs>
    <ds:schemaRef ds:uri="http://schemas.microsoft.com/sharepoint/v3/contenttype/forms"/>
  </ds:schemaRefs>
</ds:datastoreItem>
</file>

<file path=customXml/itemProps4.xml><?xml version="1.0" encoding="utf-8"?>
<ds:datastoreItem xmlns:ds="http://schemas.openxmlformats.org/officeDocument/2006/customXml" ds:itemID="{197DC89F-5BD4-43DC-971E-233C11B0A02B}">
  <ds:schemaRefs>
    <ds:schemaRef ds:uri="http://purl.org/dc/elements/1.1/"/>
    <ds:schemaRef ds:uri="http://schemas.microsoft.com/office/2006/metadata/properties"/>
    <ds:schemaRef ds:uri="http://schemas.microsoft.com/office/infopath/2007/PartnerControls"/>
    <ds:schemaRef ds:uri="http://www.w3.org/XML/1998/namespace"/>
    <ds:schemaRef ds:uri="http://schemas.microsoft.com/office/2006/documentManagement/types"/>
    <ds:schemaRef ds:uri="http://purl.org/dc/dcmitype/"/>
    <ds:schemaRef ds:uri="http://purl.org/dc/terms/"/>
    <ds:schemaRef ds:uri="http://schemas.openxmlformats.org/package/2006/metadata/core-properties"/>
    <ds:schemaRef ds:uri="17d1197e-4deb-4718-b2f6-a4117e8a9ecd"/>
    <ds:schemaRef ds:uri="ad312983-9933-4586-87ae-0dd55f2c5b7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How to use this log book</vt:lpstr>
      <vt:lpstr>Background to CPD in GORS</vt:lpstr>
      <vt:lpstr>Front page</vt:lpstr>
      <vt:lpstr>2019-2020</vt:lpstr>
      <vt:lpstr>Running Tally of CPD</vt:lpstr>
      <vt:lpstr>Drop down list</vt:lpstr>
      <vt:lpstr>Template</vt:lpstr>
      <vt:lpstr>_PSG2</vt:lpstr>
      <vt:lpstr>ActivityType</vt:lpstr>
      <vt:lpstr>Competency_Level</vt:lpstr>
      <vt:lpstr>Levels</vt:lpstr>
      <vt:lpstr>Outcome</vt:lpstr>
      <vt:lpstr>'Background to CPD in GORS'!Print_Area</vt:lpstr>
      <vt:lpstr>'2019-2020'!Print_Titles</vt:lpstr>
      <vt:lpstr>PSG</vt:lpstr>
      <vt:lpstr>PSG2levels</vt:lpstr>
      <vt:lpstr>PSGLevels</vt:lpstr>
      <vt:lpstr>SkillType</vt:lpstr>
      <vt:lpstr>StatsComp</vt:lpstr>
    </vt:vector>
  </TitlesOfParts>
  <Company>Office for National Statistics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anderka</dc:creator>
  <cp:lastModifiedBy>CREEKMORE, Catherine</cp:lastModifiedBy>
  <cp:lastPrinted>2019-09-20T07:56:43Z</cp:lastPrinted>
  <dcterms:created xsi:type="dcterms:W3CDTF">2006-03-08T10:56:06Z</dcterms:created>
  <dcterms:modified xsi:type="dcterms:W3CDTF">2020-08-20T11:34:36Z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bjective-Id">
    <vt:lpwstr>A2595498</vt:lpwstr>
  </property>
  <property fmtid="{D5CDD505-2E9C-101B-9397-08002B2CF9AE}" pid="3" name="Objective-Title">
    <vt:lpwstr>revised CPD_v5 290212_worked_example</vt:lpwstr>
  </property>
  <property fmtid="{D5CDD505-2E9C-101B-9397-08002B2CF9AE}" pid="4" name="Objective-Comment">
    <vt:lpwstr> </vt:lpwstr>
  </property>
  <property fmtid="{D5CDD505-2E9C-101B-9397-08002B2CF9AE}" pid="5" name="Objective-CreationStamp">
    <vt:filetime>2012-02-29T13:46:16Z</vt:filetime>
  </property>
  <property fmtid="{D5CDD505-2E9C-101B-9397-08002B2CF9AE}" pid="6" name="Objective-IsApproved">
    <vt:bool>false</vt:bool>
  </property>
  <property fmtid="{D5CDD505-2E9C-101B-9397-08002B2CF9AE}" pid="7" name="Objective-IsPublished">
    <vt:bool>false</vt:bool>
  </property>
  <property fmtid="{D5CDD505-2E9C-101B-9397-08002B2CF9AE}" pid="8" name="Objective-DatePublished">
    <vt:lpwstr> </vt:lpwstr>
  </property>
  <property fmtid="{D5CDD505-2E9C-101B-9397-08002B2CF9AE}" pid="9" name="Objective-ModificationStamp">
    <vt:filetime>2012-02-29T15:16:38Z</vt:filetime>
  </property>
  <property fmtid="{D5CDD505-2E9C-101B-9397-08002B2CF9AE}" pid="10" name="Objective-Owner">
    <vt:lpwstr>Full, Susan (DFMC - SD)</vt:lpwstr>
  </property>
  <property fmtid="{D5CDD505-2E9C-101B-9397-08002B2CF9AE}" pid="11" name="Objective-Path">
    <vt:lpwstr>Full, Susan (DFMC - SD):</vt:lpwstr>
  </property>
  <property fmtid="{D5CDD505-2E9C-101B-9397-08002B2CF9AE}" pid="12" name="Objective-Parent">
    <vt:lpwstr>Full, Susan (DFMC - SD)</vt:lpwstr>
  </property>
  <property fmtid="{D5CDD505-2E9C-101B-9397-08002B2CF9AE}" pid="13" name="Objective-State">
    <vt:lpwstr>Being Drafted</vt:lpwstr>
  </property>
  <property fmtid="{D5CDD505-2E9C-101B-9397-08002B2CF9AE}" pid="14" name="Objective-Version">
    <vt:lpwstr>0.2</vt:lpwstr>
  </property>
  <property fmtid="{D5CDD505-2E9C-101B-9397-08002B2CF9AE}" pid="15" name="Objective-VersionNumber">
    <vt:r8>2</vt:r8>
  </property>
  <property fmtid="{D5CDD505-2E9C-101B-9397-08002B2CF9AE}" pid="16" name="Objective-VersionComment">
    <vt:lpwstr>Version 2</vt:lpwstr>
  </property>
  <property fmtid="{D5CDD505-2E9C-101B-9397-08002B2CF9AE}" pid="17" name="Objective-FileNumber">
    <vt:lpwstr> </vt:lpwstr>
  </property>
  <property fmtid="{D5CDD505-2E9C-101B-9397-08002B2CF9AE}" pid="18" name="Objective-Classification">
    <vt:lpwstr>[Inherited - none]</vt:lpwstr>
  </property>
  <property fmtid="{D5CDD505-2E9C-101B-9397-08002B2CF9AE}" pid="19" name="Objective-Caveats">
    <vt:lpwstr> </vt:lpwstr>
  </property>
  <property fmtid="{D5CDD505-2E9C-101B-9397-08002B2CF9AE}" pid="20" name="Objective-Language [system]">
    <vt:lpwstr>English (eng)</vt:lpwstr>
  </property>
  <property fmtid="{D5CDD505-2E9C-101B-9397-08002B2CF9AE}" pid="21" name="Objective-Date Acquired [system]">
    <vt:filetime>2012-02-29T00:00:00Z</vt:filetime>
  </property>
  <property fmtid="{D5CDD505-2E9C-101B-9397-08002B2CF9AE}" pid="22" name="Objective-What to Keep [system]">
    <vt:lpwstr>No</vt:lpwstr>
  </property>
  <property fmtid="{D5CDD505-2E9C-101B-9397-08002B2CF9AE}" pid="23" name="Objective-Official Translation [system]">
    <vt:lpwstr> </vt:lpwstr>
  </property>
  <property fmtid="{D5CDD505-2E9C-101B-9397-08002B2CF9AE}" pid="24" name="ContentTypeId">
    <vt:lpwstr>0x0101000FE54337CFEC904DB186EF2210540C9A</vt:lpwstr>
  </property>
  <property fmtid="{D5CDD505-2E9C-101B-9397-08002B2CF9AE}" pid="25" name="_dlc_DocIdItemGuid">
    <vt:lpwstr>78136fd7-87d1-4fb7-9b56-382e0a8b2e6f</vt:lpwstr>
  </property>
</Properties>
</file>